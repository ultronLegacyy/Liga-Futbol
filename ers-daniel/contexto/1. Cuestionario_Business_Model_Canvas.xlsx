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fa115\Downloads\Universidad\Semestre 7\Ingenieria de software\"/>
    </mc:Choice>
  </mc:AlternateContent>
  <xr:revisionPtr revIDLastSave="0" documentId="13_ncr:1_{CBC28A6B-4A8C-47C1-A4B2-BD4AB6891F6C}" xr6:coauthVersionLast="47" xr6:coauthVersionMax="47" xr10:uidLastSave="{00000000-0000-0000-0000-000000000000}"/>
  <bookViews>
    <workbookView xWindow="0" yWindow="90" windowWidth="19200" windowHeight="11170" tabRatio="500" activeTab="1" xr2:uid="{00000000-000D-0000-FFFF-FFFF00000000}"/>
  </bookViews>
  <sheets>
    <sheet name="Instrucciones" sheetId="1" r:id="rId1"/>
    <sheet name="Cuestionario" sheetId="2" r:id="rId2"/>
    <sheet name="Lienzo" sheetId="3" r:id="rId3"/>
    <sheet name="Monetización" sheetId="4" r:id="rId4"/>
    <sheet name="Checklist" sheetId="5" r:id="rId5"/>
  </sheets>
  <definedNames>
    <definedName name="_xlnm.Print_Titles" localSheetId="1">Cuestionario!$5:$5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5" l="1"/>
  <c r="E14" i="5"/>
  <c r="E13" i="5"/>
  <c r="E12" i="5"/>
  <c r="E11" i="5"/>
  <c r="E10" i="5"/>
  <c r="E9" i="5"/>
  <c r="E8" i="5"/>
  <c r="E7" i="5"/>
  <c r="E6" i="5"/>
  <c r="C31" i="4"/>
  <c r="C30" i="4"/>
  <c r="C26" i="4"/>
  <c r="C28" i="4" s="1"/>
  <c r="C29" i="4" s="1"/>
  <c r="C32" i="4" s="1"/>
  <c r="C18" i="4"/>
  <c r="C17" i="4"/>
  <c r="C25" i="4" s="1"/>
  <c r="D15" i="3"/>
  <c r="B15" i="3"/>
  <c r="E11" i="3"/>
  <c r="C11" i="3"/>
  <c r="F6" i="3"/>
  <c r="E6" i="3"/>
  <c r="D6" i="3"/>
  <c r="C6" i="3"/>
  <c r="B6" i="3"/>
  <c r="G67" i="2"/>
  <c r="G66" i="2"/>
  <c r="G65" i="2"/>
  <c r="G64" i="2"/>
  <c r="G63" i="2"/>
  <c r="G60" i="2"/>
  <c r="G59" i="2"/>
  <c r="G58" i="2"/>
  <c r="G57" i="2"/>
  <c r="G56" i="2"/>
  <c r="G53" i="2"/>
  <c r="G52" i="2"/>
  <c r="G51" i="2"/>
  <c r="G50" i="2"/>
  <c r="G49" i="2"/>
  <c r="G46" i="2"/>
  <c r="G45" i="2"/>
  <c r="G44" i="2"/>
  <c r="G43" i="2"/>
  <c r="G42" i="2"/>
  <c r="G39" i="2"/>
  <c r="G38" i="2"/>
  <c r="G69" i="2" s="1"/>
  <c r="G37" i="2"/>
  <c r="G36" i="2"/>
  <c r="G35" i="2"/>
  <c r="G32" i="2"/>
  <c r="G31" i="2"/>
  <c r="G30" i="2"/>
  <c r="G29" i="2"/>
  <c r="G28" i="2"/>
  <c r="G25" i="2"/>
  <c r="G24" i="2"/>
  <c r="G23" i="2"/>
  <c r="G22" i="2"/>
  <c r="G21" i="2"/>
  <c r="G18" i="2"/>
  <c r="G17" i="2"/>
  <c r="G16" i="2"/>
  <c r="G15" i="2"/>
  <c r="G14" i="2"/>
  <c r="G11" i="2"/>
  <c r="G10" i="2"/>
  <c r="G9" i="2"/>
  <c r="G8" i="2"/>
  <c r="G7" i="2"/>
  <c r="E17" i="5" l="1"/>
  <c r="E18" i="5" s="1"/>
  <c r="C20" i="5" s="1"/>
  <c r="E69" i="2"/>
  <c r="C19" i="4"/>
  <c r="C27" i="4"/>
  <c r="C20" i="4" l="1"/>
  <c r="C21" i="4" s="1"/>
  <c r="C22" i="4" s="1"/>
</calcChain>
</file>

<file path=xl/sharedStrings.xml><?xml version="1.0" encoding="utf-8"?>
<sst xmlns="http://schemas.openxmlformats.org/spreadsheetml/2006/main" count="367" uniqueCount="326">
  <si>
    <t>Cuestionario del Modelo de Negocio Canvas — Proyecto de desarrollo de software</t>
  </si>
  <si>
    <t>Instituto Tecnológico de Morelia · TecNM · Ingeniería de Software</t>
  </si>
  <si>
    <t>Para qué sirve</t>
  </si>
  <si>
    <t>Este libro acompaña a la presentación «Modelo de Negocio Canvas». Contiene las 45 preguntas guía de los nueve bloques, con celdas para que tu equipo capture las respuestas. Al llenarlo se arma automáticamente el lienzo y se calcula tu avance.</t>
  </si>
  <si>
    <t>Cómo se llena</t>
  </si>
  <si>
    <t>Escribe únicamente en las celdas de fondo amarillo. El resto de las celdas contiene fórmulas o texto de referencia y no debe modificarse.</t>
  </si>
  <si>
    <t>Orden sugerido</t>
  </si>
  <si>
    <t>Contesta los bloques en el orden en que aparecen (1 Segmentos, 2 Propuesta de valor, 3 Canales, 4 Relación, 5 Ingresos, 6 Recursos, 7 Actividades, 8 Socios, 9 Costos). Ese es el orden en que se construye un modelo de negocio.</t>
  </si>
  <si>
    <t>Extensión esperada</t>
  </si>
  <si>
    <t>Entre 40 y 400 caracteres por respuesta. La columna «Estado» marca «Pendiente» si está vacía y «Muy breve» si tiene menos de 40 caracteres.</t>
  </si>
  <si>
    <t>Hoja «Lienzo»</t>
  </si>
  <si>
    <t>Se llena sola con tus respuestas y reproduce el lienzo de una sola página. Úsala para revisar la coherencia del conjunto y para vaciar el contenido en la plantilla de la presentación.</t>
  </si>
  <si>
    <t>Hoja «Monetización»</t>
  </si>
  <si>
    <t>Calculadora de ingresos, costos, punto de equilibrio y relación LTV/CAC. Cambia solo los supuestos en amarillo y observa cómo se mueven los resultados.</t>
  </si>
  <si>
    <t>Hoja «Checklist»</t>
  </si>
  <si>
    <t>Prueba de coherencia del modelo. Elige Sí, Parcial o No en cada criterio; el semáforo indica si la propuesta está lista para presentarse.</t>
  </si>
  <si>
    <t>Entregable</t>
  </si>
  <si>
    <t>Este archivo con el cuestionario contestado y el checklist en verde, más la presentación con las diapositivas de plantilla completas.</t>
  </si>
  <si>
    <t>LEYENDA</t>
  </si>
  <si>
    <t>Celda de captura: escribe aquí.</t>
  </si>
  <si>
    <t>Celda de referencia o texto fijo: no la modifiques.</t>
  </si>
  <si>
    <t>Celda calculada con fórmula: no la modifiques.</t>
  </si>
  <si>
    <t>Equipo:</t>
  </si>
  <si>
    <t>Nombre del proyecto:</t>
  </si>
  <si>
    <t>Cuestionario guía — los nueve bloques del Business Model Canvas</t>
  </si>
  <si>
    <t>Escribe solo en la columna «Respuesta del equipo» (celdas amarillas). Entre 40 y 400 caracteres por respuesta.</t>
  </si>
  <si>
    <t>Bloque</t>
  </si>
  <si>
    <t>#</t>
  </si>
  <si>
    <t>Pregunta guía</t>
  </si>
  <si>
    <t>Respuesta del equipo</t>
  </si>
  <si>
    <t>Qué debe contener una buena respuesta</t>
  </si>
  <si>
    <t>Estado</t>
  </si>
  <si>
    <t>BLOQUE 1 — SEGMENTOS DE CLIENTES    ·    ¿Para quién creamos valor?</t>
  </si>
  <si>
    <t>Segmentos de clientes</t>
  </si>
  <si>
    <t>1.1</t>
  </si>
  <si>
    <t>¿Para quién creamos valor, en una frase?</t>
  </si>
  <si>
    <t>Un grupo concreto y acotado: sector, tamaño y ubicación. La palabra «todos» invalida la respuesta.</t>
  </si>
  <si>
    <t>1.2</t>
  </si>
  <si>
    <t>¿Quién usa el software a diario y quién firma el pago?</t>
  </si>
  <si>
    <t>Los dos papeles nombrados por separado, con su puesto dentro de la organización.</t>
  </si>
  <si>
    <t>1.3</t>
  </si>
  <si>
    <t>¿Qué segmento sufre el problema con más intensidad y frecuencia?</t>
  </si>
  <si>
    <t>Un segmento elegido y la razón por la que el problema duele más ahí que en otros.</t>
  </si>
  <si>
    <t>1.4</t>
  </si>
  <si>
    <t>¿Cuántos son, dónde están y cómo los contactamos?</t>
  </si>
  <si>
    <t>Un número estimado con su fuente y al menos una vía concreta de contacto.</t>
  </si>
  <si>
    <t>1.5</t>
  </si>
  <si>
    <t>¿Con qué segmento arrancamos y cuál dejamos para después?</t>
  </si>
  <si>
    <t>Un segmento de entrada y el criterio por el que fue elegido.</t>
  </si>
  <si>
    <t>BLOQUE 2 — PROPUESTA DE VALOR    ·    ¿Qué ofrecemos y por qué nos eligen?</t>
  </si>
  <si>
    <t>Propuesta de valor</t>
  </si>
  <si>
    <t>2.1</t>
  </si>
  <si>
    <t>¿Qué problema específico resolvemos y para quién?</t>
  </si>
  <si>
    <t>Un problema observable en el trabajo del cliente, no la ausencia de un software.</t>
  </si>
  <si>
    <t>2.2</t>
  </si>
  <si>
    <t>¿Qué hace hoy el cliente sin nosotros y qué le cuesta?</t>
  </si>
  <si>
    <t>La alternativa actual nombrada (papel, hoja de cálculo, otro sistema) y su costo en tiempo o dinero.</t>
  </si>
  <si>
    <t>2.3</t>
  </si>
  <si>
    <t>¿Qué gana de forma medible: tiempo, dinero, errores evitados, cumplimiento?</t>
  </si>
  <si>
    <t>Al menos una cifra o una comparación de antes y después.</t>
  </si>
  <si>
    <t>2.4</t>
  </si>
  <si>
    <t>¿Por qué nosotros y no la alternativa que ya tiene?</t>
  </si>
  <si>
    <t>Un diferenciador que la alternativa actual no puede ofrecer.</t>
  </si>
  <si>
    <t>2.5</t>
  </si>
  <si>
    <t>¿Qué queda fuera del alcance de la primera versión?</t>
  </si>
  <si>
    <t>Una lista corta de exclusiones explícitas.</t>
  </si>
  <si>
    <t>BLOQUE 3 — CANALES    ·    ¿Cómo llegamos al cliente?</t>
  </si>
  <si>
    <t>Canales</t>
  </si>
  <si>
    <t>3.1</t>
  </si>
  <si>
    <t>¿Cómo se entera el cliente de que existimos?</t>
  </si>
  <si>
    <t>Uno o dos canales concretos. «Redes sociales» sin más detalle no cuenta.</t>
  </si>
  <si>
    <t>3.2</t>
  </si>
  <si>
    <t>¿Cómo puede probar el producto antes de pagar?</t>
  </si>
  <si>
    <t>Un mecanismo de prueba definido, con su duración o su alcance.</t>
  </si>
  <si>
    <t>3.3</t>
  </si>
  <si>
    <t>¿Cómo lo contrata, lo instala y lo empieza a usar?</t>
  </si>
  <si>
    <t>El recorrido de alta descrito en pasos, desde la decisión hasta el primer uso real.</t>
  </si>
  <si>
    <t>3.4</t>
  </si>
  <si>
    <t>¿Por dónde recibe soporte, capacitación y actualizaciones?</t>
  </si>
  <si>
    <t>Canal de soporte, horario de atención y forma de entrega de las actualizaciones.</t>
  </si>
  <si>
    <t>3.5</t>
  </si>
  <si>
    <t>¿Qué canal es el más barato por cliente adquirido?</t>
  </si>
  <si>
    <t>Una comparación, aunque sea estimada, con el supuesto en que se apoya.</t>
  </si>
  <si>
    <t>BLOQUE 4 — RELACIÓN CON CLIENTES    ·    ¿Cómo conservamos al cliente?</t>
  </si>
  <si>
    <t>Relación con clientes</t>
  </si>
  <si>
    <t>4.1</t>
  </si>
  <si>
    <t>¿Qué tipo de relación espera cada segmento y cuál está dispuesto a pagar?</t>
  </si>
  <si>
    <t>El tipo nombrado: autoservicio, asistencia personal, comunidad o éxito del cliente.</t>
  </si>
  <si>
    <t>4.2</t>
  </si>
  <si>
    <t>¿Cómo acompañamos al cliente en sus primeros días de uso?</t>
  </si>
  <si>
    <t>Acciones concretas de puesta en marcha, con tiempos.</t>
  </si>
  <si>
    <t>4.3</t>
  </si>
  <si>
    <t>¿Qué hacemos para que no nos abandone y cómo lo detectamos a tiempo?</t>
  </si>
  <si>
    <t>Una señal medible de riesgo de abandono y la acción que se dispara con ella.</t>
  </si>
  <si>
    <t>4.4</t>
  </si>
  <si>
    <t>¿Qué parte de la relación se automatiza y cuál es humana?</t>
  </si>
  <si>
    <t>La frontera entre ambas, declarada de forma explícita.</t>
  </si>
  <si>
    <t>4.5</t>
  </si>
  <si>
    <t>¿Cuánto cuesta al mes sostener esa relación por cliente?</t>
  </si>
  <si>
    <t>Una estimación en pesos o en horas de trabajo por cliente.</t>
  </si>
  <si>
    <t>BLOQUE 5 — FUENTES DE INGRESOS    ·    ¿Cómo entra el dinero?</t>
  </si>
  <si>
    <t>Fuentes de ingresos</t>
  </si>
  <si>
    <t>5.1</t>
  </si>
  <si>
    <t>¿Por qué valor concreto está dispuesto a pagar el cliente?</t>
  </si>
  <si>
    <t>El valor recibido, no la funcionalidad entregada.</t>
  </si>
  <si>
    <t>5.2</t>
  </si>
  <si>
    <t>¿Cuánto gasta hoy en resolver ese problema por otros medios?</t>
  </si>
  <si>
    <t>Una cifra con su origen: entrevista, cotización o estimación documentada.</t>
  </si>
  <si>
    <t>5.3</t>
  </si>
  <si>
    <t>¿Cómo cobramos: mensual, anual, por uso, único, por comisión?</t>
  </si>
  <si>
    <t>El modelo elegido y la unidad de cobro (por usuario, por sucursal, por transacción).</t>
  </si>
  <si>
    <t>5.4</t>
  </si>
  <si>
    <t>¿Cuál es el precio, cómo lo justificamos y qué planes ofrecemos?</t>
  </si>
  <si>
    <t>Precio justificado en el valor entregado y al menos dos planes diferenciados.</t>
  </si>
  <si>
    <t>5.5</t>
  </si>
  <si>
    <t>¿Qué porcentaje del ingreso total aporta cada fuente?</t>
  </si>
  <si>
    <t>Una distribución cuyos porcentajes sumen cien.</t>
  </si>
  <si>
    <t>BLOQUE 6 — RECURSOS CLAVE    ·    ¿Qué necesitamos para operar?</t>
  </si>
  <si>
    <t>Recursos clave</t>
  </si>
  <si>
    <t>6.1</t>
  </si>
  <si>
    <t>¿Qué perfiles técnicos necesita el equipo y con qué dedicación?</t>
  </si>
  <si>
    <t>Perfiles, cantidad y dedicación: tiempo completo o parcial.</t>
  </si>
  <si>
    <t>6.2</t>
  </si>
  <si>
    <t>¿Qué infraestructura requiere el sistema y cuánto cuesta al mes?</t>
  </si>
  <si>
    <t>Servicios nombrados y un costo mensual estimado.</t>
  </si>
  <si>
    <t>6.3</t>
  </si>
  <si>
    <t>¿Qué datos necesitamos, cómo los obtenemos y cómo los protegemos?</t>
  </si>
  <si>
    <t>Origen de los datos y la medida de protección o la base legal de su tratamiento.</t>
  </si>
  <si>
    <t>6.4</t>
  </si>
  <si>
    <t>¿Qué activo es difícil de copiar por un competidor?</t>
  </si>
  <si>
    <t>Un activo concreto y la razón por la que no es fácil de replicar.</t>
  </si>
  <si>
    <t>6.5</t>
  </si>
  <si>
    <t>¿De qué licencias o servicios de terceros dependemos de forma crítica?</t>
  </si>
  <si>
    <t>Servicios nombrados y el efecto que tendría perderlos.</t>
  </si>
  <si>
    <t>BLOQUE 7 — ACTIVIDADES CLAVE    ·    ¿Qué hacemos de forma sostenida?</t>
  </si>
  <si>
    <t>Actividades clave</t>
  </si>
  <si>
    <t>7.1</t>
  </si>
  <si>
    <t>¿Qué debemos hacer cada semana para que el modelo funcione?</t>
  </si>
  <si>
    <t>Actividades recurrentes, no tareas de una sola vez.</t>
  </si>
  <si>
    <t>7.2</t>
  </si>
  <si>
    <t>¿Qué actividades sostienen directamente la propuesta de valor?</t>
  </si>
  <si>
    <t>El vínculo explícito entre cada actividad y la promesa hecha al cliente.</t>
  </si>
  <si>
    <t>7.3</t>
  </si>
  <si>
    <t>¿Qué hacemos internamente y qué conviene contratar fuera?</t>
  </si>
  <si>
    <t>Una decisión de hacer o comprar, con su razón.</t>
  </si>
  <si>
    <t>7.4</t>
  </si>
  <si>
    <t>¿Cómo aseguramos calidad, seguridad y disponibilidad del servicio?</t>
  </si>
  <si>
    <t>Prácticas concretas: pruebas, respaldos, monitoreo, control de accesos.</t>
  </si>
  <si>
    <t>7.5</t>
  </si>
  <si>
    <t>¿Qué proceso de desarrollo usaremos y por qué se ajusta a este modelo?</t>
  </si>
  <si>
    <t>Marco de trabajo elegido y su justificación según el tipo de cliente y de entrega.</t>
  </si>
  <si>
    <t>BLOQUE 8 — SOCIOS CLAVE    ·    ¿Quién nos ayuda?</t>
  </si>
  <si>
    <t>Socios clave</t>
  </si>
  <si>
    <t>8.1</t>
  </si>
  <si>
    <t>¿Quién nos provee lo que hemos decidido no construir?</t>
  </si>
  <si>
    <t>Proveedores nombrados, cada uno con la función que cubre.</t>
  </si>
  <si>
    <t>8.2</t>
  </si>
  <si>
    <t>¿Qué servicios de terceros son críticos y qué ocurre si fallan o suben de precio?</t>
  </si>
  <si>
    <t>El riesgo identificado y un plan alterno.</t>
  </si>
  <si>
    <t>8.3</t>
  </si>
  <si>
    <t>¿Quién nos da acceso rápido a clientes que no alcanzaríamos solos?</t>
  </si>
  <si>
    <t>Un aliado de distribución concreto.</t>
  </si>
  <si>
    <t>8.4</t>
  </si>
  <si>
    <t>¿Qué alianza reduce nuestro riesgo técnico, legal o financiero?</t>
  </si>
  <si>
    <t>La alianza y el riesgo específico que mitiga.</t>
  </si>
  <si>
    <t>8.5</t>
  </si>
  <si>
    <t>¿Qué aportamos nosotros en cada alianza y bajo qué condiciones?</t>
  </si>
  <si>
    <t>La contraprestación: comisión, exclusividad, datos, uso de marca.</t>
  </si>
  <si>
    <t>BLOQUE 9 — ESTRUCTURA DE COSTOS    ·    ¿Cuánto cuesta sostener el modelo?</t>
  </si>
  <si>
    <t>Estructura de costos</t>
  </si>
  <si>
    <t>9.1</t>
  </si>
  <si>
    <t>¿Cuáles son los cinco costos más grandes del modelo?</t>
  </si>
  <si>
    <t>Cinco costos nombrados, cada uno con su monto estimado.</t>
  </si>
  <si>
    <t>9.2</t>
  </si>
  <si>
    <t>¿Qué costos crecen con cada cliente o usuario nuevo?</t>
  </si>
  <si>
    <t>Los costos variables claramente separados de los fijos.</t>
  </si>
  <si>
    <t>9.3</t>
  </si>
  <si>
    <t>¿Cuánto nos cuesta conseguir un cliente y cuánto atenderlo al mes?</t>
  </si>
  <si>
    <t>Costo de adquisición y costo de servicio mensual, aunque sean estimados.</t>
  </si>
  <si>
    <t>9.4</t>
  </si>
  <si>
    <t>¿El modelo se rige por costos o por valor?</t>
  </si>
  <si>
    <t>Una postura declarada y su consecuencia sobre la política de precios.</t>
  </si>
  <si>
    <t>9.5</t>
  </si>
  <si>
    <t>¿Cuántos clientes necesitamos para llegar al punto de equilibrio?</t>
  </si>
  <si>
    <t>Un número que se derive de los costos fijos y del margen por cliente.</t>
  </si>
  <si>
    <t>Respuestas completas</t>
  </si>
  <si>
    <t>Lienzo del modelo de negocio — se arma solo con tus respuestas</t>
  </si>
  <si>
    <t>Esta hoja no se edita: reúne las respuestas capturadas en la hoja «Cuestionario». Si algo se ve vacío, esa pregunta sigue pendiente.</t>
  </si>
  <si>
    <t>8. Socios clave</t>
  </si>
  <si>
    <t>7. Actividades clave</t>
  </si>
  <si>
    <t>2. Propuesta de valor</t>
  </si>
  <si>
    <t>4. Relación con clientes</t>
  </si>
  <si>
    <t>1. Segmentos de clientes</t>
  </si>
  <si>
    <t>6. Recursos clave</t>
  </si>
  <si>
    <t>3. Canales</t>
  </si>
  <si>
    <t>9. Estructura de costos</t>
  </si>
  <si>
    <t>5. Fuentes de ingresos</t>
  </si>
  <si>
    <t>Revisión de coherencia: cada segmento debe tener un canal, cada propuesta de valor una fuente de ingresos, y cada costo debe nacer de un recurso, una actividad o un socio declarado.</t>
  </si>
  <si>
    <t>Calculadora del modelo de ingresos y punto de equilibrio</t>
  </si>
  <si>
    <t>Cambia únicamente las celdas amarillas. Los resultados se recalculan solos. Todas las cifras son estimaciones del equipo y deben poder explicarse.</t>
  </si>
  <si>
    <t>SUPUESTOS DEL MODELO — escribe aquí</t>
  </si>
  <si>
    <t>Precio de la suscripción por cliente al mes</t>
  </si>
  <si>
    <t>Precio de lista del plan principal.</t>
  </si>
  <si>
    <t>Ingreso único por implementación (por cliente)</t>
  </si>
  <si>
    <t>Cobro de una sola vez al dar de alta al cliente. Escribe 0 si no aplica.</t>
  </si>
  <si>
    <t>Clientes activos al cierre del primer año</t>
  </si>
  <si>
    <t>Meta realista, no aspiracional. Compárala con el punto de equilibrio calculado abajo.</t>
  </si>
  <si>
    <t>Clientes nuevos por mes (promedio del año)</t>
  </si>
  <si>
    <t>Ritmo de venta que el equipo puede sostener.</t>
  </si>
  <si>
    <t>Costo variable por cliente al mes (nube, mensajería, soporte)</t>
  </si>
  <si>
    <t>Lo que cuesta atender a un cliente más.</t>
  </si>
  <si>
    <t>Comisión de la pasarela de pago</t>
  </si>
  <si>
    <t>Se aplica sobre el ingreso cobrado.</t>
  </si>
  <si>
    <t>Costos fijos mensuales (nómina, infraestructura base, licencias)</t>
  </si>
  <si>
    <t>No dependen del número de clientes.</t>
  </si>
  <si>
    <t>Costo de adquirir un cliente (CAC)</t>
  </si>
  <si>
    <t>Gasto de venta y mercadotecnia dividido entre los clientes conseguidos.</t>
  </si>
  <si>
    <t>Permanencia promedio del cliente (meses)</t>
  </si>
  <si>
    <t>Si el abandono mensual fuera del 5%, la permanencia sería de 20 meses.</t>
  </si>
  <si>
    <t>RESULTADOS MENSUALES</t>
  </si>
  <si>
    <t>Ingreso recurrente mensual (MRR)</t>
  </si>
  <si>
    <t>Precio mensual multiplicado por los clientes activos.</t>
  </si>
  <si>
    <t>Ingreso por implementaciones del mes</t>
  </si>
  <si>
    <t>Ingreso no recurrente: depende de cuántos clientes nuevos entran.</t>
  </si>
  <si>
    <t>Ingreso total del mes</t>
  </si>
  <si>
    <t>Suma de lo recurrente y lo no recurrente.</t>
  </si>
  <si>
    <t>Costos variables del mes</t>
  </si>
  <si>
    <t>Costo por cliente más la comisión de la pasarela.</t>
  </si>
  <si>
    <t>Margen de contribución del mes</t>
  </si>
  <si>
    <t>Lo que queda para cubrir los costos fijos.</t>
  </si>
  <si>
    <t>Utilidad mensual estimada</t>
  </si>
  <si>
    <t>Margen de contribución menos los costos fijos.</t>
  </si>
  <si>
    <t>INDICADORES DEL MODELO</t>
  </si>
  <si>
    <t>Ingreso recurrente anual (ARR)</t>
  </si>
  <si>
    <t>MRR proyectado a doce meses.</t>
  </si>
  <si>
    <t>Margen de contribución por cliente al mes</t>
  </si>
  <si>
    <t>Precio menos costo variable y comisión.</t>
  </si>
  <si>
    <t>Margen de contribución (porcentaje)</t>
  </si>
  <si>
    <t>Proporción del precio que sobrevive a los costos variables.</t>
  </si>
  <si>
    <t>Valor del cliente en toda la relación (LTV)</t>
  </si>
  <si>
    <t>Margen mensual por la permanencia, más la implementación.</t>
  </si>
  <si>
    <t>Relación LTV / CAC</t>
  </si>
  <si>
    <t>Por debajo de 3.0 el modelo no se sostiene: revisa precio, retención o canal.</t>
  </si>
  <si>
    <t>Meses para recuperar el CAC</t>
  </si>
  <si>
    <t>Más de 12 meses obliga a replantear el canal de venta.</t>
  </si>
  <si>
    <t>Punto de equilibrio (clientes activos necesarios)</t>
  </si>
  <si>
    <t>Clientes con los que el margen cubre exactamente los costos fijos.</t>
  </si>
  <si>
    <t>Diagnóstico de la relación LTV/CAC</t>
  </si>
  <si>
    <t>Se recalcula al cambiar cualquier supuesto.</t>
  </si>
  <si>
    <t>Fuente de los supuestos: cifras propuestas por el equipo docente como ejemplo del caso TallerPro. Sustitúyelas por las de tu proyecto y anota de dónde salió cada una.</t>
  </si>
  <si>
    <t>Prueba de coherencia del modelo</t>
  </si>
  <si>
    <t>Elige Sí, Parcial o No en cada criterio (celdas amarillas). El semáforo del final indica si la propuesta está lista para presentarse.</t>
  </si>
  <si>
    <t>Criterio</t>
  </si>
  <si>
    <t>Respuesta</t>
  </si>
  <si>
    <t>Puntos</t>
  </si>
  <si>
    <t>Qué revisar si la respuesta no es «Sí»</t>
  </si>
  <si>
    <t>Cada segmento de clientes tiene al menos un canal que lo alcanza.</t>
  </si>
  <si>
    <t>Revisa el bloque 3: un segmento sin canal es un cliente al que nunca llegarás.</t>
  </si>
  <si>
    <t>Cada segmento tiene una propuesta de valor escrita en sus términos, no en los tuyos.</t>
  </si>
  <si>
    <t>Reescribe el bloque 2 con las palabras que usó el cliente en las entrevistas.</t>
  </si>
  <si>
    <t>Cada propuesta de valor tiene asociada al menos una fuente de ingresos.</t>
  </si>
  <si>
    <t>Si nadie paga por ese valor, es una función, no un modelo de negocio.</t>
  </si>
  <si>
    <t>Cada actividad clave se sostiene con algún recurso clave o algún socio declarado.</t>
  </si>
  <si>
    <t>Cruza los bloques 6, 7 y 8: una actividad sin quien la ejecute no ocurrirá.</t>
  </si>
  <si>
    <t>Cada costo relevante se origina en un recurso, una actividad o un socio de tu lienzo.</t>
  </si>
  <si>
    <t>Si aparece un costo sin origen, falta declarar algo en los bloques 6, 7 u 8.</t>
  </si>
  <si>
    <t>El precio se justifica con el valor entregado, no con el costo de desarrollo.</t>
  </si>
  <si>
    <t>Vuelve al bloque 5 y compáralo con lo que el cliente gasta hoy en el problema.</t>
  </si>
  <si>
    <t>El tipo de relación con el cliente es compatible con el precio y con el costo de atenderlo.</t>
  </si>
  <si>
    <t>Un acompañamiento personalizado con precio bajo destruye el margen.</t>
  </si>
  <si>
    <t>Sabes cuál es el supuesto más riesgoso del modelo y cómo piensas ponerlo a prueba.</t>
  </si>
  <si>
    <t>Nómbralo y define el experimento y la fecha en que lo harás.</t>
  </si>
  <si>
    <t>Hay al menos una evidencia externa: entrevista, prueba, carta de intención o dato de mercado.</t>
  </si>
  <si>
    <t>Sin evidencia, todo el lienzo es opinión del equipo.</t>
  </si>
  <si>
    <t>Puedes explicar el modelo completo en tres minutos sin abrir el sistema.</t>
  </si>
  <si>
    <t>Si necesitas la demostración para explicarlo, el modelo aún no está claro.</t>
  </si>
  <si>
    <t>Puntaje obtenido (máximo 10)</t>
  </si>
  <si>
    <t>Nivel de avance</t>
  </si>
  <si>
    <t>Rafael Piedra Sanchez</t>
  </si>
  <si>
    <t>Ally-Educ</t>
  </si>
  <si>
    <t>Para escuelas rurales con equipos inutilizados, estudiantes, habitantes sin internet y autoridades educativas que buscan cerrar la brecha digital.</t>
  </si>
  <si>
    <t>Lo usa diariamente los alumnos y publico general. El que paga; es la escuela (Asociacion de padres), la counidad y ayuntamientos</t>
  </si>
  <si>
    <t>Las escuelas rurales que tienen dispositivos donados o ya cuentan con ellos (tablets/PCs) pero que estan arrubados formando un basurero tecnologico por falta de red</t>
  </si>
  <si>
    <t>Miles de escuelas rurales de distintos niveles. Donde el contacto es presencial con directores, comites de padres de familia y autoridades ejidales.</t>
  </si>
  <si>
    <t>Arrancamos con escuelas publicas rurales con un aula especializada (sala de informatica), para despues escalar la señal al resto de la comunidad</t>
  </si>
  <si>
    <t xml:space="preserve">La escuela tiene equipo tecnologico que no usa. Los estudiantes gastan su saldo celular (si hay red) para investigar, limitando su aprendizaje y generando un gasto familiar </t>
  </si>
  <si>
    <t>Ponemos en uso los equipos inactivos de la escuela creando un aula interactiva y damos acceso a informacion a la comunidad sin depender de internet.</t>
  </si>
  <si>
    <t>La escuela recupera su inversion en hardware y los alumnos acceden a terabytes de conocimiento y un Tutor IA ahorrando 100% de datos moviles.</t>
  </si>
  <si>
    <t>Porque no cobramos una costotsa renta mensual de internet satelita (o por fibra), si no que instalamos una intranet local sustentable que opera de forma autonoma.</t>
  </si>
  <si>
    <t>Queda fuera del alcance dar acceso a internet, ya que el sistema funcionará únicamente como una red privada y al conectarte, solo te permitirá consultar documentos, archivos y la IA que ya estan dentro del propio servidor local.</t>
  </si>
  <si>
    <t>Mediante visitas presenciales a escuelas, reuniones con directores, asambleas ejidales y alianzas con CONAFE</t>
  </si>
  <si>
    <t>Llevando un microservidor portatil a la escuela para hacer una demostracion en vivo de como la IA y los siuladores funcionan en sus propios dispositivos sin ninguna conexión.</t>
  </si>
  <si>
    <t>Primero la escuela aprueba el proyecto, instalamos el servidor para la aula especializada y las antenas exterioes. Y ahora los usuarios se pueden conectar al WIFI</t>
  </si>
  <si>
    <t>Reciben una capacitacion presencial a docentes para usar el aula (y el portal). Ademas, de actualizaciones y soporte fisico mediante visitas tecnicas programadas</t>
  </si>
  <si>
    <t>La alianza con autoridades municipales o CONAFE, ya que un solo acuerdo puede darnos multiples escuelas de la region</t>
  </si>
  <si>
    <t>La escuela espera capacitacion humana y soporte tecnico. Y la comunidad espera que el servicio de compra de fichas presenciales sea rapido y confiable.</t>
  </si>
  <si>
    <t>Con uno de nuestros compañeros (integrantes) del proyecto se quede en el sitio para poder configruar las tabletas/PC del aula especializada y enseñar a los docentes a usar el Tutor IA y los simuladores, ademas de crear una guia de uso para las fichas y acceso al portal.</t>
  </si>
  <si>
    <t>Ofrecemos polizas de actualizacion de contenido (nuevos libros, mejores IA's) para que la escual vea valor mantener el sistema vigente año tras año</t>
  </si>
  <si>
    <t>El portal cautivo automatiza el acceso tras ingresar el codigo PIN. La venta de las fichas, la instalacion y el mantenimiento son estrictamente humanos.</t>
  </si>
  <si>
    <t>EL mayor costo son los viaticos de transporte a la comunidad para entregar los lotes de fichas fisicas, cobrar y realizar el mantenimeinto.</t>
  </si>
  <si>
    <t>La escuela paga por revivir su aula tecnologica y el mantenimiento. La comunidad paga por acceder a gerraientas de estudio sin gastar en saldo celular.</t>
  </si>
  <si>
    <t>Las escuelas no pueden pagar internet satelital permanente y con buena velocidad (para muchos usuarios), y los padres gastan constantemente en recargas de saldo para tareas escolares.</t>
  </si>
  <si>
    <t>1. La venta presencial de fichas/pines de acceso (tiempo de duracion de cada pin es semanalment o mensualmente)  2. Polizas de mantenimiento y actualizacion a la escuela  3. Venta inicial de infraestructura</t>
  </si>
  <si>
    <t>Fichas muy economicas (ej. Semanales, mensuales) pagadas en efectivo en la cooperativa o algun otro sitio. Y Polizas anuales a la escuela para actualizaciones y mantenimiento</t>
  </si>
  <si>
    <t>La venta de infraestructura (Aula + antenas) aporta la capital inicial. Y las polizas a esculas y venta de fichas en efectivo dan ingresos mensuales.</t>
  </si>
  <si>
    <t>Ingenieros capaces de desplegar contenedores docker, configurar Open WebUI/RAG y tecnicos para la instalacion fisica de redes y antenas 5GHz.</t>
  </si>
  <si>
    <t>Requiere un microservidor central, Antenas de largo alcance 5GHz y los dispositivos con los que ya cuenta la escuela. El costo de nube es cero al ser una infraestructura 100% offline</t>
  </si>
  <si>
    <t>Archivos Publicos masivos (Wikipedia, PhET, Libros) ingresados mediante Discos Duros locales al servidor. Ademas, no capturaremos datos sensibles de usuarios (alumnos, profesores, usuarios en general)</t>
  </si>
  <si>
    <t>La integracion en Docker con Inteligencia Artificial que no alucine y logistica de distribucion en la comunidad.</t>
  </si>
  <si>
    <t>Usamos tecnologias de codigo abierto (Docker, Ollama, Modelos LLM locales), eliminando el pago de licencias a terceros</t>
  </si>
  <si>
    <t>si</t>
  </si>
  <si>
    <t>Generar e imprimir los lotes de codigos PIN y gestionar la logistica presencial para entregarlos al punto de venta de la comunidad</t>
  </si>
  <si>
    <t>Interno: Configuracion de software, IA y sistema logistico de pines de acceso. Externo: compra de hardware y si es necesario (aunque posiblemente no) la contratacion de mano de obra local para el cableado.</t>
  </si>
  <si>
    <t>Aislando el trafico de usuarios (una para el aula y otra para el prueblo) y visitando presencialmente la escuela ante fallas de hardware.</t>
  </si>
  <si>
    <t>El despliegue fisico del microservidor en el aula especializada y las actualizaciones a la infraestructura (RAG de informacion e IA) para que el sistema sea optimo</t>
  </si>
  <si>
    <t>Despliegue basado en contenedores Docker, lo que nos permite el manejo aislado del sistema completo, y podemos hacer actualizaciones e implementaciones rapidas via USB en las visitas tecnicas.</t>
  </si>
  <si>
    <t>El Hardware de telecomunicaciones: donde un aumento de precio haria que se viera reflejado en el costo de instalacion (y/o contratacion inicial) que se cobra a la escuela o el ayuntamiento</t>
  </si>
  <si>
    <t>La CONAFE nos conectaria con comunidades rurales de una manera mas sencilla. Y tiendas locales de la comunidad (sitio oficial, abarrotes, cooperativas escolares...) quienes actuaran como nuestros distribuidores de los pines de acceso</t>
  </si>
  <si>
    <t>Las escuelas, las cuales resguardan fisicamente nuestro servidor dentro de sus instalaciones, asi como los ejidos que autorizan el uso de los espacios.</t>
  </si>
  <si>
    <t>Nosotros damos la tecnologia. La escuela pone las tabletas/PC y la seguridad fisica. EL punto de venta local gana una comision por vender los pines de acceso</t>
  </si>
  <si>
    <t>1. Hardware (Servidor y antenas). 2. Viaticos (Visitas de mantenimiento y cobro). 3. Generacion e Impresión de fichas. 4. Horas de Desarrollo 5. Mano de obra de red</t>
  </si>
  <si>
    <t>Ampliar la cobertura requiere compras mas antenas exteriores. Aumentar el contenido requiere discos duros de mayor capacidad para el servidor</t>
  </si>
  <si>
    <t>Al principio, adquirir una escuela requiere viajes de venta especial. Y despues, antenderla cuesta viaticos mensuales del equipo que recolecta el efectivo y hace mantenimiento</t>
  </si>
  <si>
    <t>Por valor. Ya que rescatamos el hardware abandonado y llevamos educacion e IA a un prueblo sin internet, justificando la inversion en la infraestructura.</t>
  </si>
  <si>
    <t>Cobrando la infraestructura y el aula especializada a la escuela/municipio, asi como cubriendo la operación logistica. El punto de equilibrio se alcanzaria relativamente rapido</t>
  </si>
  <si>
    <t>Los proveedoees de hardware (servidores y antenas 5GHz) asi como los creados de los modelos base de inteligencia artificial (LLMs)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</si>
</sst>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"/>
  </numFmts>
  <fonts count="23" x14ac:knownFonts="1">
    <font>
      <sz val="11"/>
      <color theme="1"/>
      <name val="Calibri"/>
      <family val="2"/>
      <charset val="1"/>
    </font>
    <font>
      <b/>
      <sz val="16"/>
      <color rgb="FF1F1B3A"/>
      <name val="Arial"/>
      <charset val="1"/>
    </font>
    <font>
      <sz val="10"/>
      <color rgb="FF5B6472"/>
      <name val="Arial"/>
      <charset val="1"/>
    </font>
    <font>
      <b/>
      <sz val="11"/>
      <color rgb="FF1F1B3A"/>
      <name val="Arial"/>
      <charset val="1"/>
    </font>
    <font>
      <sz val="10.5"/>
      <color rgb="FF1F1B3A"/>
      <name val="Arial"/>
      <charset val="1"/>
    </font>
    <font>
      <sz val="10"/>
      <color rgb="FF1F1B3A"/>
      <name val="Arial"/>
      <charset val="1"/>
    </font>
    <font>
      <b/>
      <sz val="15"/>
      <color rgb="FF1F1B3A"/>
      <name val="Arial"/>
      <charset val="1"/>
    </font>
    <font>
      <i/>
      <sz val="10"/>
      <color rgb="FF5B6472"/>
      <name val="Arial"/>
      <charset val="1"/>
    </font>
    <font>
      <b/>
      <sz val="10.5"/>
      <color rgb="FFFFFFFF"/>
      <name val="Arial"/>
      <charset val="1"/>
    </font>
    <font>
      <b/>
      <sz val="11"/>
      <color rgb="FFFFFFFF"/>
      <name val="Arial"/>
      <charset val="1"/>
    </font>
    <font>
      <sz val="9.5"/>
      <color rgb="FF5B6472"/>
      <name val="Arial"/>
      <charset val="1"/>
    </font>
    <font>
      <b/>
      <sz val="9.5"/>
      <color rgb="FF00A6A6"/>
      <name val="Arial"/>
      <charset val="1"/>
    </font>
    <font>
      <b/>
      <sz val="10.5"/>
      <color rgb="FF1F1B3A"/>
      <name val="Arial"/>
      <charset val="1"/>
    </font>
    <font>
      <i/>
      <sz val="9.5"/>
      <color rgb="FF5B6472"/>
      <name val="Arial"/>
      <charset val="1"/>
    </font>
    <font>
      <b/>
      <sz val="10"/>
      <color rgb="FF1F1B3A"/>
      <name val="Arial"/>
      <charset val="1"/>
    </font>
    <font>
      <b/>
      <sz val="9.5"/>
      <color rgb="FFF4A300"/>
      <name val="Arial"/>
      <charset val="1"/>
    </font>
    <font>
      <b/>
      <sz val="9.5"/>
      <color rgb="FF2E8B6B"/>
      <name val="Arial"/>
      <charset val="1"/>
    </font>
    <font>
      <b/>
      <sz val="9.5"/>
      <color rgb="FF4A47A3"/>
      <name val="Arial"/>
      <charset val="1"/>
    </font>
    <font>
      <b/>
      <sz val="11"/>
      <color rgb="FF2E8B6B"/>
      <name val="Arial"/>
      <charset val="1"/>
    </font>
    <font>
      <sz val="9.5"/>
      <color rgb="FF1F1B3A"/>
      <name val="Arial"/>
      <charset val="1"/>
    </font>
    <font>
      <b/>
      <sz val="10.5"/>
      <color rgb="FF0000FF"/>
      <name val="Arial"/>
      <charset val="1"/>
    </font>
    <font>
      <b/>
      <sz val="10"/>
      <color rgb="FF00A6A6"/>
      <name val="Arial"/>
      <charset val="1"/>
    </font>
    <font>
      <b/>
      <sz val="12"/>
      <color rgb="FF1F1B3A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8DC"/>
        <bgColor rgb="FFF2F4F7"/>
      </patternFill>
    </fill>
    <fill>
      <patternFill patternType="solid">
        <fgColor rgb="FFFFFFFF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1F1B3A"/>
        <bgColor rgb="FF333300"/>
      </patternFill>
    </fill>
    <fill>
      <patternFill patternType="solid">
        <fgColor rgb="FF00A6A6"/>
        <bgColor rgb="FF008080"/>
      </patternFill>
    </fill>
    <fill>
      <patternFill patternType="solid">
        <fgColor rgb="FFF4A300"/>
        <bgColor rgb="FFFFCC00"/>
      </patternFill>
    </fill>
    <fill>
      <patternFill patternType="solid">
        <fgColor rgb="FF2E8B6B"/>
        <bgColor rgb="FF008080"/>
      </patternFill>
    </fill>
    <fill>
      <patternFill patternType="solid">
        <fgColor rgb="FF4A47A3"/>
        <bgColor rgb="FF5B6472"/>
      </patternFill>
    </fill>
  </fills>
  <borders count="3">
    <border>
      <left/>
      <right/>
      <top/>
      <bottom/>
      <diagonal/>
    </border>
    <border>
      <left style="thin">
        <color rgb="FFD5D9E0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>
      <left style="thin">
        <color rgb="FFD5D9E0"/>
      </left>
      <right/>
      <top style="thin">
        <color rgb="FFD5D9E0"/>
      </top>
      <bottom style="thin">
        <color rgb="FFD5D9E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0" applyFont="1"/>
    <xf numFmtId="0" fontId="0" fillId="2" borderId="1" xfId="0" applyFill="1" applyBorder="1"/>
    <xf numFmtId="0" fontId="5" fillId="0" borderId="0" xfId="0" applyFont="1"/>
    <xf numFmtId="0" fontId="0" fillId="3" borderId="1" xfId="0" applyFill="1" applyBorder="1"/>
    <xf numFmtId="0" fontId="0" fillId="4" borderId="1" xfId="0" applyFill="1" applyBorder="1"/>
    <xf numFmtId="0" fontId="5" fillId="2" borderId="1" xfId="0" applyFont="1" applyFill="1" applyBorder="1"/>
    <xf numFmtId="0" fontId="8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4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9" fontId="18" fillId="4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vertical="center" indent="1"/>
    </xf>
    <xf numFmtId="0" fontId="8" fillId="7" borderId="1" xfId="0" applyFont="1" applyFill="1" applyBorder="1" applyAlignment="1">
      <alignment vertical="center" indent="1"/>
    </xf>
    <xf numFmtId="0" fontId="8" fillId="6" borderId="1" xfId="0" applyFont="1" applyFill="1" applyBorder="1" applyAlignment="1">
      <alignment vertical="center" indent="1"/>
    </xf>
    <xf numFmtId="0" fontId="4" fillId="0" borderId="1" xfId="0" applyFont="1" applyBorder="1" applyAlignment="1">
      <alignment vertical="center" indent="1"/>
    </xf>
    <xf numFmtId="164" fontId="20" fillId="2" borderId="1" xfId="0" applyNumberFormat="1" applyFont="1" applyFill="1" applyBorder="1" applyAlignment="1">
      <alignment horizontal="center" vertical="center"/>
    </xf>
    <xf numFmtId="3" fontId="20" fillId="2" borderId="1" xfId="0" applyNumberFormat="1" applyFont="1" applyFill="1" applyBorder="1" applyAlignment="1">
      <alignment horizontal="center" vertical="center"/>
    </xf>
    <xf numFmtId="165" fontId="20" fillId="2" borderId="1" xfId="0" applyNumberFormat="1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 indent="1"/>
    </xf>
    <xf numFmtId="164" fontId="18" fillId="4" borderId="1" xfId="0" applyNumberFormat="1" applyFont="1" applyFill="1" applyBorder="1" applyAlignment="1">
      <alignment horizontal="center" vertical="center"/>
    </xf>
    <xf numFmtId="165" fontId="12" fillId="4" borderId="1" xfId="0" applyNumberFormat="1" applyFont="1" applyFill="1" applyBorder="1" applyAlignment="1">
      <alignment horizontal="center" vertical="center"/>
    </xf>
    <xf numFmtId="166" fontId="18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3" fontId="18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20" fillId="2" borderId="1" xfId="0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Border="1"/>
    <xf numFmtId="0" fontId="2" fillId="0" borderId="0" xfId="0" applyFont="1" applyBorder="1"/>
    <xf numFmtId="0" fontId="9" fillId="8" borderId="1" xfId="0" applyFont="1" applyFill="1" applyBorder="1" applyAlignment="1">
      <alignment vertical="center" indent="1"/>
    </xf>
    <xf numFmtId="0" fontId="9" fillId="6" borderId="1" xfId="0" applyFont="1" applyFill="1" applyBorder="1" applyAlignment="1">
      <alignment vertical="center" indent="1"/>
    </xf>
    <xf numFmtId="0" fontId="9" fillId="9" borderId="1" xfId="0" applyFont="1" applyFill="1" applyBorder="1" applyAlignment="1">
      <alignment vertical="center" indent="1"/>
    </xf>
    <xf numFmtId="0" fontId="6" fillId="0" borderId="0" xfId="0" applyFont="1" applyBorder="1"/>
    <xf numFmtId="0" fontId="7" fillId="0" borderId="0" xfId="0" applyFont="1" applyBorder="1"/>
    <xf numFmtId="0" fontId="9" fillId="7" borderId="1" xfId="0" applyFont="1" applyFill="1" applyBorder="1" applyAlignment="1">
      <alignment vertical="center" indent="1"/>
    </xf>
    <xf numFmtId="0" fontId="8" fillId="8" borderId="1" xfId="0" applyFont="1" applyFill="1" applyBorder="1" applyAlignment="1">
      <alignment vertical="center" indent="1"/>
    </xf>
    <xf numFmtId="0" fontId="19" fillId="3" borderId="1" xfId="0" applyFont="1" applyFill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13" fillId="0" borderId="0" xfId="0" applyFont="1" applyBorder="1" applyAlignment="1">
      <alignment vertical="top" wrapText="1"/>
    </xf>
    <xf numFmtId="0" fontId="22" fillId="2" borderId="2" xfId="0" applyFont="1" applyFill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6A6"/>
      <rgbColor rgb="FFC0C0C0"/>
      <rgbColor rgb="FF808080"/>
      <rgbColor rgb="FF9999FF"/>
      <rgbColor rgb="FF993366"/>
      <rgbColor rgb="FFFFF8DC"/>
      <rgbColor rgb="FFF2F4F7"/>
      <rgbColor rgb="FF660066"/>
      <rgbColor rgb="FFFF8080"/>
      <rgbColor rgb="FF0066CC"/>
      <rgbColor rgb="FFD5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300"/>
      <rgbColor rgb="FFFF6600"/>
      <rgbColor rgb="FF5B6472"/>
      <rgbColor rgb="FF969696"/>
      <rgbColor rgb="FF003366"/>
      <rgbColor rgb="FF2E8B6B"/>
      <rgbColor rgb="FF003300"/>
      <rgbColor rgb="FF333300"/>
      <rgbColor rgb="FF993300"/>
      <rgbColor rgb="FF993366"/>
      <rgbColor rgb="FF4A47A3"/>
      <rgbColor rgb="FF1F1B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28"/>
  <sheetViews>
    <sheetView showGridLines="0" topLeftCell="A11" zoomScaleNormal="100" workbookViewId="0">
      <selection activeCell="C29" sqref="C29"/>
    </sheetView>
  </sheetViews>
  <sheetFormatPr baseColWidth="10" defaultColWidth="8.6328125" defaultRowHeight="14.5" x14ac:dyDescent="0.35"/>
  <cols>
    <col min="1" max="1" width="3" customWidth="1"/>
    <col min="2" max="2" width="26" customWidth="1"/>
    <col min="3" max="3" width="96" customWidth="1"/>
    <col min="4" max="4" width="3" customWidth="1"/>
  </cols>
  <sheetData>
    <row r="2" spans="2:3" ht="27.75" customHeight="1" x14ac:dyDescent="0.4">
      <c r="B2" s="42" t="s">
        <v>0</v>
      </c>
      <c r="C2" s="42"/>
    </row>
    <row r="3" spans="2:3" x14ac:dyDescent="0.35">
      <c r="B3" s="43" t="s">
        <v>1</v>
      </c>
      <c r="C3" s="43"/>
    </row>
    <row r="5" spans="2:3" ht="42" customHeight="1" x14ac:dyDescent="0.35">
      <c r="B5" s="1" t="s">
        <v>2</v>
      </c>
      <c r="C5" s="2" t="s">
        <v>3</v>
      </c>
    </row>
    <row r="7" spans="2:3" ht="42" customHeight="1" x14ac:dyDescent="0.35">
      <c r="B7" s="1" t="s">
        <v>4</v>
      </c>
      <c r="C7" s="2" t="s">
        <v>5</v>
      </c>
    </row>
    <row r="9" spans="2:3" ht="42" customHeight="1" x14ac:dyDescent="0.35">
      <c r="B9" s="1" t="s">
        <v>6</v>
      </c>
      <c r="C9" s="2" t="s">
        <v>7</v>
      </c>
    </row>
    <row r="11" spans="2:3" ht="42" customHeight="1" x14ac:dyDescent="0.35">
      <c r="B11" s="1" t="s">
        <v>8</v>
      </c>
      <c r="C11" s="2" t="s">
        <v>9</v>
      </c>
    </row>
    <row r="13" spans="2:3" ht="42" customHeight="1" x14ac:dyDescent="0.35">
      <c r="B13" s="1" t="s">
        <v>10</v>
      </c>
      <c r="C13" s="2" t="s">
        <v>11</v>
      </c>
    </row>
    <row r="15" spans="2:3" ht="42" customHeight="1" x14ac:dyDescent="0.35">
      <c r="B15" s="1" t="s">
        <v>12</v>
      </c>
      <c r="C15" s="2" t="s">
        <v>13</v>
      </c>
    </row>
    <row r="17" spans="2:3" ht="42" customHeight="1" x14ac:dyDescent="0.35">
      <c r="B17" s="1" t="s">
        <v>14</v>
      </c>
      <c r="C17" s="2" t="s">
        <v>15</v>
      </c>
    </row>
    <row r="19" spans="2:3" ht="42" customHeight="1" x14ac:dyDescent="0.35">
      <c r="B19" s="1" t="s">
        <v>16</v>
      </c>
      <c r="C19" s="2" t="s">
        <v>17</v>
      </c>
    </row>
    <row r="22" spans="2:3" x14ac:dyDescent="0.35">
      <c r="B22" s="3" t="s">
        <v>18</v>
      </c>
    </row>
    <row r="23" spans="2:3" ht="18" customHeight="1" x14ac:dyDescent="0.35">
      <c r="B23" s="4"/>
      <c r="C23" s="5" t="s">
        <v>19</v>
      </c>
    </row>
    <row r="24" spans="2:3" ht="18" customHeight="1" x14ac:dyDescent="0.35">
      <c r="B24" s="6"/>
      <c r="C24" s="5" t="s">
        <v>20</v>
      </c>
    </row>
    <row r="25" spans="2:3" ht="18" customHeight="1" x14ac:dyDescent="0.35">
      <c r="B25" s="7"/>
      <c r="C25" s="5" t="s">
        <v>21</v>
      </c>
    </row>
    <row r="27" spans="2:3" x14ac:dyDescent="0.35">
      <c r="B27" s="3" t="s">
        <v>22</v>
      </c>
      <c r="C27" s="8" t="s">
        <v>278</v>
      </c>
    </row>
    <row r="28" spans="2:3" x14ac:dyDescent="0.35">
      <c r="B28" s="3" t="s">
        <v>23</v>
      </c>
      <c r="C28" s="8" t="s">
        <v>279</v>
      </c>
    </row>
  </sheetData>
  <mergeCells count="2">
    <mergeCell ref="B2:C2"/>
    <mergeCell ref="B3:C3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69"/>
  <sheetViews>
    <sheetView showGridLines="0" tabSelected="1" zoomScale="80" zoomScaleNormal="80" workbookViewId="0">
      <pane xSplit="1" ySplit="5" topLeftCell="B61" activePane="bottomRight" state="frozen"/>
      <selection pane="topRight" activeCell="B1" sqref="B1"/>
      <selection pane="bottomLeft" activeCell="A6" sqref="A6"/>
      <selection pane="bottomRight" activeCell="E63" sqref="E63"/>
    </sheetView>
  </sheetViews>
  <sheetFormatPr baseColWidth="10" defaultColWidth="8.6328125" defaultRowHeight="14.5" x14ac:dyDescent="0.35"/>
  <cols>
    <col min="1" max="1" width="3" customWidth="1"/>
    <col min="2" max="2" width="22" customWidth="1"/>
    <col min="3" max="3" width="6" customWidth="1"/>
    <col min="4" max="4" width="52.1796875" customWidth="1"/>
    <col min="5" max="5" width="68.1796875" customWidth="1"/>
    <col min="6" max="6" width="48" customWidth="1"/>
    <col min="7" max="7" width="18.81640625" customWidth="1"/>
  </cols>
  <sheetData>
    <row r="2" spans="2:7" ht="25.5" customHeight="1" x14ac:dyDescent="0.4">
      <c r="B2" s="47" t="s">
        <v>24</v>
      </c>
      <c r="C2" s="47"/>
      <c r="D2" s="47"/>
      <c r="E2" s="47"/>
      <c r="F2" s="47"/>
      <c r="G2" s="47"/>
    </row>
    <row r="3" spans="2:7" x14ac:dyDescent="0.35">
      <c r="B3" s="48" t="s">
        <v>25</v>
      </c>
      <c r="C3" s="48"/>
      <c r="D3" s="48"/>
      <c r="E3" s="48"/>
      <c r="F3" s="48"/>
      <c r="G3" s="48"/>
    </row>
    <row r="5" spans="2:7" ht="30" customHeight="1" x14ac:dyDescent="0.35">
      <c r="B5" s="9" t="s">
        <v>26</v>
      </c>
      <c r="C5" s="9" t="s">
        <v>27</v>
      </c>
      <c r="D5" s="9" t="s">
        <v>28</v>
      </c>
      <c r="E5" s="9" t="s">
        <v>29</v>
      </c>
      <c r="F5" s="9" t="s">
        <v>30</v>
      </c>
      <c r="G5" s="9" t="s">
        <v>31</v>
      </c>
    </row>
    <row r="6" spans="2:7" ht="24" customHeight="1" x14ac:dyDescent="0.35">
      <c r="B6" s="45" t="s">
        <v>32</v>
      </c>
      <c r="C6" s="45"/>
      <c r="D6" s="45"/>
      <c r="E6" s="45"/>
      <c r="F6" s="45"/>
      <c r="G6" s="45"/>
    </row>
    <row r="7" spans="2:7" ht="51.75" customHeight="1" x14ac:dyDescent="0.35">
      <c r="B7" s="10" t="s">
        <v>33</v>
      </c>
      <c r="C7" s="11" t="s">
        <v>34</v>
      </c>
      <c r="D7" s="12" t="s">
        <v>35</v>
      </c>
      <c r="E7" s="13" t="s">
        <v>280</v>
      </c>
      <c r="F7" s="14" t="s">
        <v>36</v>
      </c>
      <c r="G7" s="15" t="str">
        <f>IF(LEN(E7)=0,"Pendiente",IF(LEN(E7)&lt;40,"Muy breve","Completa"))</f>
        <v>Completa</v>
      </c>
    </row>
    <row r="8" spans="2:7" ht="51.75" customHeight="1" x14ac:dyDescent="0.35">
      <c r="B8" s="10" t="s">
        <v>33</v>
      </c>
      <c r="C8" s="11" t="s">
        <v>37</v>
      </c>
      <c r="D8" s="12" t="s">
        <v>38</v>
      </c>
      <c r="E8" s="13" t="s">
        <v>281</v>
      </c>
      <c r="F8" s="14" t="s">
        <v>39</v>
      </c>
      <c r="G8" s="15" t="str">
        <f>IF(LEN(E8)=0,"Pendiente",IF(LEN(E8)&lt;40,"Muy breve","Completa"))</f>
        <v>Completa</v>
      </c>
    </row>
    <row r="9" spans="2:7" ht="51.75" customHeight="1" x14ac:dyDescent="0.35">
      <c r="B9" s="10" t="s">
        <v>33</v>
      </c>
      <c r="C9" s="11" t="s">
        <v>40</v>
      </c>
      <c r="D9" s="12" t="s">
        <v>41</v>
      </c>
      <c r="E9" s="13" t="s">
        <v>282</v>
      </c>
      <c r="F9" s="14" t="s">
        <v>42</v>
      </c>
      <c r="G9" s="15" t="str">
        <f>IF(LEN(E9)=0,"Pendiente",IF(LEN(E9)&lt;40,"Muy breve","Completa"))</f>
        <v>Completa</v>
      </c>
    </row>
    <row r="10" spans="2:7" ht="51.75" customHeight="1" x14ac:dyDescent="0.35">
      <c r="B10" s="10" t="s">
        <v>33</v>
      </c>
      <c r="C10" s="11" t="s">
        <v>43</v>
      </c>
      <c r="D10" s="12" t="s">
        <v>44</v>
      </c>
      <c r="E10" s="13" t="s">
        <v>283</v>
      </c>
      <c r="F10" s="14" t="s">
        <v>45</v>
      </c>
      <c r="G10" s="15" t="str">
        <f>IF(LEN(E10)=0,"Pendiente",IF(LEN(E10)&lt;40,"Muy breve","Completa"))</f>
        <v>Completa</v>
      </c>
    </row>
    <row r="11" spans="2:7" ht="51.75" customHeight="1" x14ac:dyDescent="0.35">
      <c r="B11" s="10" t="s">
        <v>33</v>
      </c>
      <c r="C11" s="11" t="s">
        <v>46</v>
      </c>
      <c r="D11" s="12" t="s">
        <v>47</v>
      </c>
      <c r="E11" s="13" t="s">
        <v>284</v>
      </c>
      <c r="F11" s="14" t="s">
        <v>48</v>
      </c>
      <c r="G11" s="15" t="str">
        <f>IF(LEN(E11)=0,"Pendiente",IF(LEN(E11)&lt;40,"Muy breve","Completa"))</f>
        <v>Completa</v>
      </c>
    </row>
    <row r="13" spans="2:7" ht="24" customHeight="1" x14ac:dyDescent="0.35">
      <c r="B13" s="49" t="s">
        <v>49</v>
      </c>
      <c r="C13" s="49"/>
      <c r="D13" s="49"/>
      <c r="E13" s="49"/>
      <c r="F13" s="49"/>
      <c r="G13" s="49"/>
    </row>
    <row r="14" spans="2:7" ht="51.75" customHeight="1" x14ac:dyDescent="0.35">
      <c r="B14" s="10" t="s">
        <v>50</v>
      </c>
      <c r="C14" s="16" t="s">
        <v>51</v>
      </c>
      <c r="D14" s="12" t="s">
        <v>52</v>
      </c>
      <c r="E14" s="13" t="s">
        <v>286</v>
      </c>
      <c r="F14" s="14" t="s">
        <v>53</v>
      </c>
      <c r="G14" s="15" t="str">
        <f>IF(LEN(E14)=0,"Pendiente",IF(LEN(E14)&lt;40,"Muy breve","Completa"))</f>
        <v>Completa</v>
      </c>
    </row>
    <row r="15" spans="2:7" ht="51.75" customHeight="1" x14ac:dyDescent="0.35">
      <c r="B15" s="10" t="s">
        <v>50</v>
      </c>
      <c r="C15" s="16" t="s">
        <v>54</v>
      </c>
      <c r="D15" s="12" t="s">
        <v>55</v>
      </c>
      <c r="E15" s="13" t="s">
        <v>285</v>
      </c>
      <c r="F15" s="14" t="s">
        <v>56</v>
      </c>
      <c r="G15" s="15" t="str">
        <f>IF(LEN(E15)=0,"Pendiente",IF(LEN(E15)&lt;40,"Muy breve","Completa"))</f>
        <v>Completa</v>
      </c>
    </row>
    <row r="16" spans="2:7" ht="51.75" customHeight="1" x14ac:dyDescent="0.35">
      <c r="B16" s="10" t="s">
        <v>50</v>
      </c>
      <c r="C16" s="16" t="s">
        <v>57</v>
      </c>
      <c r="D16" s="12" t="s">
        <v>58</v>
      </c>
      <c r="E16" s="13" t="s">
        <v>287</v>
      </c>
      <c r="F16" s="14" t="s">
        <v>59</v>
      </c>
      <c r="G16" s="15" t="str">
        <f>IF(LEN(E16)=0,"Pendiente",IF(LEN(E16)&lt;40,"Muy breve","Completa"))</f>
        <v>Completa</v>
      </c>
    </row>
    <row r="17" spans="2:7" ht="51.75" customHeight="1" x14ac:dyDescent="0.35">
      <c r="B17" s="10" t="s">
        <v>50</v>
      </c>
      <c r="C17" s="16" t="s">
        <v>60</v>
      </c>
      <c r="D17" s="12" t="s">
        <v>61</v>
      </c>
      <c r="E17" s="13" t="s">
        <v>288</v>
      </c>
      <c r="F17" s="14" t="s">
        <v>62</v>
      </c>
      <c r="G17" s="15" t="str">
        <f>IF(LEN(E17)=0,"Pendiente",IF(LEN(E17)&lt;40,"Muy breve","Completa"))</f>
        <v>Completa</v>
      </c>
    </row>
    <row r="18" spans="2:7" ht="51.75" customHeight="1" x14ac:dyDescent="0.35">
      <c r="B18" s="10" t="s">
        <v>50</v>
      </c>
      <c r="C18" s="16" t="s">
        <v>63</v>
      </c>
      <c r="D18" s="12" t="s">
        <v>64</v>
      </c>
      <c r="E18" s="13" t="s">
        <v>289</v>
      </c>
      <c r="F18" s="14" t="s">
        <v>65</v>
      </c>
      <c r="G18" s="15" t="str">
        <f>IF(LEN(E18)=0,"Pendiente",IF(LEN(E18)&lt;40,"Muy breve","Completa"))</f>
        <v>Completa</v>
      </c>
    </row>
    <row r="20" spans="2:7" ht="24" customHeight="1" x14ac:dyDescent="0.35">
      <c r="B20" s="45" t="s">
        <v>66</v>
      </c>
      <c r="C20" s="45"/>
      <c r="D20" s="45"/>
      <c r="E20" s="45"/>
      <c r="F20" s="45"/>
      <c r="G20" s="45"/>
    </row>
    <row r="21" spans="2:7" ht="51.75" customHeight="1" x14ac:dyDescent="0.35">
      <c r="B21" s="10" t="s">
        <v>67</v>
      </c>
      <c r="C21" s="11" t="s">
        <v>68</v>
      </c>
      <c r="D21" s="12" t="s">
        <v>69</v>
      </c>
      <c r="E21" s="13" t="s">
        <v>290</v>
      </c>
      <c r="F21" s="14" t="s">
        <v>70</v>
      </c>
      <c r="G21" s="15" t="str">
        <f>IF(LEN(E21)=0,"Pendiente",IF(LEN(E21)&lt;40,"Muy breve","Completa"))</f>
        <v>Completa</v>
      </c>
    </row>
    <row r="22" spans="2:7" ht="51.75" customHeight="1" x14ac:dyDescent="0.35">
      <c r="B22" s="10" t="s">
        <v>67</v>
      </c>
      <c r="C22" s="11" t="s">
        <v>71</v>
      </c>
      <c r="D22" s="12" t="s">
        <v>72</v>
      </c>
      <c r="E22" s="13" t="s">
        <v>291</v>
      </c>
      <c r="F22" s="14" t="s">
        <v>73</v>
      </c>
      <c r="G22" s="15" t="str">
        <f>IF(LEN(E22)=0,"Pendiente",IF(LEN(E22)&lt;40,"Muy breve","Completa"))</f>
        <v>Completa</v>
      </c>
    </row>
    <row r="23" spans="2:7" ht="51.75" customHeight="1" x14ac:dyDescent="0.35">
      <c r="B23" s="10" t="s">
        <v>67</v>
      </c>
      <c r="C23" s="11" t="s">
        <v>74</v>
      </c>
      <c r="D23" s="12" t="s">
        <v>75</v>
      </c>
      <c r="E23" s="13" t="s">
        <v>292</v>
      </c>
      <c r="F23" s="14" t="s">
        <v>76</v>
      </c>
      <c r="G23" s="15" t="str">
        <f>IF(LEN(E23)=0,"Pendiente",IF(LEN(E23)&lt;40,"Muy breve","Completa"))</f>
        <v>Completa</v>
      </c>
    </row>
    <row r="24" spans="2:7" ht="51.75" customHeight="1" x14ac:dyDescent="0.35">
      <c r="B24" s="10" t="s">
        <v>67</v>
      </c>
      <c r="C24" s="11" t="s">
        <v>77</v>
      </c>
      <c r="D24" s="12" t="s">
        <v>78</v>
      </c>
      <c r="E24" s="13" t="s">
        <v>293</v>
      </c>
      <c r="F24" s="14" t="s">
        <v>79</v>
      </c>
      <c r="G24" s="15" t="str">
        <f>IF(LEN(E24)=0,"Pendiente",IF(LEN(E24)&lt;40,"Muy breve","Completa"))</f>
        <v>Completa</v>
      </c>
    </row>
    <row r="25" spans="2:7" ht="51.75" customHeight="1" x14ac:dyDescent="0.35">
      <c r="B25" s="10" t="s">
        <v>67</v>
      </c>
      <c r="C25" s="11" t="s">
        <v>80</v>
      </c>
      <c r="D25" s="12" t="s">
        <v>81</v>
      </c>
      <c r="E25" s="13" t="s">
        <v>294</v>
      </c>
      <c r="F25" s="14" t="s">
        <v>82</v>
      </c>
      <c r="G25" s="15" t="str">
        <f>IF(LEN(E25)=0,"Pendiente",IF(LEN(E25)&lt;40,"Muy breve","Completa"))</f>
        <v>Completa</v>
      </c>
    </row>
    <row r="27" spans="2:7" ht="24" customHeight="1" x14ac:dyDescent="0.35">
      <c r="B27" s="45" t="s">
        <v>83</v>
      </c>
      <c r="C27" s="45"/>
      <c r="D27" s="45"/>
      <c r="E27" s="45"/>
      <c r="F27" s="45"/>
      <c r="G27" s="45"/>
    </row>
    <row r="28" spans="2:7" ht="51.75" customHeight="1" x14ac:dyDescent="0.35">
      <c r="B28" s="10" t="s">
        <v>84</v>
      </c>
      <c r="C28" s="11" t="s">
        <v>85</v>
      </c>
      <c r="D28" s="12" t="s">
        <v>86</v>
      </c>
      <c r="E28" s="13" t="s">
        <v>295</v>
      </c>
      <c r="F28" s="14" t="s">
        <v>87</v>
      </c>
      <c r="G28" s="15" t="str">
        <f>IF(LEN(E28)=0,"Pendiente",IF(LEN(E28)&lt;40,"Muy breve","Completa"))</f>
        <v>Completa</v>
      </c>
    </row>
    <row r="29" spans="2:7" ht="51.75" customHeight="1" x14ac:dyDescent="0.35">
      <c r="B29" s="10" t="s">
        <v>84</v>
      </c>
      <c r="C29" s="11" t="s">
        <v>88</v>
      </c>
      <c r="D29" s="12" t="s">
        <v>89</v>
      </c>
      <c r="E29" s="13" t="s">
        <v>296</v>
      </c>
      <c r="F29" s="14" t="s">
        <v>90</v>
      </c>
      <c r="G29" s="15" t="str">
        <f>IF(LEN(E29)=0,"Pendiente",IF(LEN(E29)&lt;40,"Muy breve","Completa"))</f>
        <v>Completa</v>
      </c>
    </row>
    <row r="30" spans="2:7" ht="51.75" customHeight="1" x14ac:dyDescent="0.35">
      <c r="B30" s="10" t="s">
        <v>84</v>
      </c>
      <c r="C30" s="11" t="s">
        <v>91</v>
      </c>
      <c r="D30" s="12" t="s">
        <v>92</v>
      </c>
      <c r="E30" s="13" t="s">
        <v>297</v>
      </c>
      <c r="F30" s="14" t="s">
        <v>93</v>
      </c>
      <c r="G30" s="15" t="str">
        <f>IF(LEN(E30)=0,"Pendiente",IF(LEN(E30)&lt;40,"Muy breve","Completa"))</f>
        <v>Completa</v>
      </c>
    </row>
    <row r="31" spans="2:7" ht="51.75" customHeight="1" x14ac:dyDescent="0.35">
      <c r="B31" s="10" t="s">
        <v>84</v>
      </c>
      <c r="C31" s="11" t="s">
        <v>94</v>
      </c>
      <c r="D31" s="12" t="s">
        <v>95</v>
      </c>
      <c r="E31" s="13" t="s">
        <v>298</v>
      </c>
      <c r="F31" s="14" t="s">
        <v>96</v>
      </c>
      <c r="G31" s="15" t="str">
        <f>IF(LEN(E31)=0,"Pendiente",IF(LEN(E31)&lt;40,"Muy breve","Completa"))</f>
        <v>Completa</v>
      </c>
    </row>
    <row r="32" spans="2:7" ht="51.75" customHeight="1" x14ac:dyDescent="0.35">
      <c r="B32" s="10" t="s">
        <v>84</v>
      </c>
      <c r="C32" s="11" t="s">
        <v>97</v>
      </c>
      <c r="D32" s="12" t="s">
        <v>98</v>
      </c>
      <c r="E32" s="13" t="s">
        <v>299</v>
      </c>
      <c r="F32" s="14" t="s">
        <v>99</v>
      </c>
      <c r="G32" s="15" t="str">
        <f>IF(LEN(E32)=0,"Pendiente",IF(LEN(E32)&lt;40,"Muy breve","Completa"))</f>
        <v>Completa</v>
      </c>
    </row>
    <row r="34" spans="2:7" ht="24" customHeight="1" x14ac:dyDescent="0.35">
      <c r="B34" s="44" t="s">
        <v>100</v>
      </c>
      <c r="C34" s="44"/>
      <c r="D34" s="44"/>
      <c r="E34" s="44"/>
      <c r="F34" s="44"/>
      <c r="G34" s="44"/>
    </row>
    <row r="35" spans="2:7" ht="51.75" customHeight="1" x14ac:dyDescent="0.35">
      <c r="B35" s="10" t="s">
        <v>101</v>
      </c>
      <c r="C35" s="17" t="s">
        <v>102</v>
      </c>
      <c r="D35" s="12" t="s">
        <v>103</v>
      </c>
      <c r="E35" s="13" t="s">
        <v>300</v>
      </c>
      <c r="F35" s="14" t="s">
        <v>104</v>
      </c>
      <c r="G35" s="15" t="str">
        <f>IF(LEN(E35)=0,"Pendiente",IF(LEN(E35)&lt;40,"Muy breve","Completa"))</f>
        <v>Completa</v>
      </c>
    </row>
    <row r="36" spans="2:7" ht="51.75" customHeight="1" x14ac:dyDescent="0.35">
      <c r="B36" s="10" t="s">
        <v>101</v>
      </c>
      <c r="C36" s="17" t="s">
        <v>105</v>
      </c>
      <c r="D36" s="12" t="s">
        <v>106</v>
      </c>
      <c r="E36" s="13" t="s">
        <v>301</v>
      </c>
      <c r="F36" s="14" t="s">
        <v>107</v>
      </c>
      <c r="G36" s="15" t="str">
        <f>IF(LEN(E36)=0,"Pendiente",IF(LEN(E36)&lt;40,"Muy breve","Completa"))</f>
        <v>Completa</v>
      </c>
    </row>
    <row r="37" spans="2:7" ht="51.75" customHeight="1" x14ac:dyDescent="0.35">
      <c r="B37" s="10" t="s">
        <v>101</v>
      </c>
      <c r="C37" s="17" t="s">
        <v>108</v>
      </c>
      <c r="D37" s="12" t="s">
        <v>109</v>
      </c>
      <c r="E37" s="13" t="s">
        <v>302</v>
      </c>
      <c r="F37" s="14" t="s">
        <v>110</v>
      </c>
      <c r="G37" s="15" t="str">
        <f>IF(LEN(E37)=0,"Pendiente",IF(LEN(E37)&lt;40,"Muy breve","Completa"))</f>
        <v>Completa</v>
      </c>
    </row>
    <row r="38" spans="2:7" ht="51.75" customHeight="1" x14ac:dyDescent="0.35">
      <c r="B38" s="10" t="s">
        <v>101</v>
      </c>
      <c r="C38" s="17" t="s">
        <v>111</v>
      </c>
      <c r="D38" s="12" t="s">
        <v>112</v>
      </c>
      <c r="E38" s="13" t="s">
        <v>303</v>
      </c>
      <c r="F38" s="14" t="s">
        <v>113</v>
      </c>
      <c r="G38" s="15" t="str">
        <f>IF(LEN(E38)=0,"Pendiente",IF(LEN(E38)&lt;40,"Muy breve","Completa"))</f>
        <v>Completa</v>
      </c>
    </row>
    <row r="39" spans="2:7" ht="51.75" customHeight="1" x14ac:dyDescent="0.35">
      <c r="B39" s="10" t="s">
        <v>101</v>
      </c>
      <c r="C39" s="17" t="s">
        <v>114</v>
      </c>
      <c r="D39" s="12" t="s">
        <v>115</v>
      </c>
      <c r="E39" s="13" t="s">
        <v>304</v>
      </c>
      <c r="F39" s="14" t="s">
        <v>116</v>
      </c>
      <c r="G39" s="15" t="str">
        <f>IF(LEN(E39)=0,"Pendiente",IF(LEN(E39)&lt;40,"Muy breve","Completa"))</f>
        <v>Completa</v>
      </c>
    </row>
    <row r="41" spans="2:7" ht="24" customHeight="1" x14ac:dyDescent="0.35">
      <c r="B41" s="46" t="s">
        <v>117</v>
      </c>
      <c r="C41" s="46"/>
      <c r="D41" s="46"/>
      <c r="E41" s="46"/>
      <c r="F41" s="46"/>
      <c r="G41" s="46"/>
    </row>
    <row r="42" spans="2:7" ht="51.75" customHeight="1" x14ac:dyDescent="0.35">
      <c r="B42" s="10" t="s">
        <v>118</v>
      </c>
      <c r="C42" s="18" t="s">
        <v>119</v>
      </c>
      <c r="D42" s="12" t="s">
        <v>120</v>
      </c>
      <c r="E42" s="13" t="s">
        <v>305</v>
      </c>
      <c r="F42" s="14" t="s">
        <v>121</v>
      </c>
      <c r="G42" s="15" t="str">
        <f>IF(LEN(E42)=0,"Pendiente",IF(LEN(E42)&lt;40,"Muy breve","Completa"))</f>
        <v>Completa</v>
      </c>
    </row>
    <row r="43" spans="2:7" ht="51.75" customHeight="1" x14ac:dyDescent="0.35">
      <c r="B43" s="10" t="s">
        <v>118</v>
      </c>
      <c r="C43" s="18" t="s">
        <v>122</v>
      </c>
      <c r="D43" s="12" t="s">
        <v>123</v>
      </c>
      <c r="E43" s="13" t="s">
        <v>306</v>
      </c>
      <c r="F43" s="14" t="s">
        <v>124</v>
      </c>
      <c r="G43" s="15" t="str">
        <f>IF(LEN(E43)=0,"Pendiente",IF(LEN(E43)&lt;40,"Muy breve","Completa"))</f>
        <v>Completa</v>
      </c>
    </row>
    <row r="44" spans="2:7" ht="51.75" customHeight="1" x14ac:dyDescent="0.35">
      <c r="B44" s="10" t="s">
        <v>118</v>
      </c>
      <c r="C44" s="18" t="s">
        <v>125</v>
      </c>
      <c r="D44" s="12" t="s">
        <v>126</v>
      </c>
      <c r="E44" s="13" t="s">
        <v>307</v>
      </c>
      <c r="F44" s="14" t="s">
        <v>127</v>
      </c>
      <c r="G44" s="15" t="str">
        <f>IF(LEN(E44)=0,"Pendiente",IF(LEN(E44)&lt;40,"Muy breve","Completa"))</f>
        <v>Completa</v>
      </c>
    </row>
    <row r="45" spans="2:7" ht="51.75" customHeight="1" x14ac:dyDescent="0.35">
      <c r="B45" s="10" t="s">
        <v>118</v>
      </c>
      <c r="C45" s="18" t="s">
        <v>128</v>
      </c>
      <c r="D45" s="12" t="s">
        <v>129</v>
      </c>
      <c r="E45" s="13" t="s">
        <v>308</v>
      </c>
      <c r="F45" s="14" t="s">
        <v>130</v>
      </c>
      <c r="G45" s="15" t="str">
        <f>IF(LEN(E45)=0,"Pendiente",IF(LEN(E45)&lt;40,"Muy breve","Completa"))</f>
        <v>Completa</v>
      </c>
    </row>
    <row r="46" spans="2:7" ht="51.75" customHeight="1" x14ac:dyDescent="0.35">
      <c r="B46" s="10" t="s">
        <v>118</v>
      </c>
      <c r="C46" s="18" t="s">
        <v>131</v>
      </c>
      <c r="D46" s="12" t="s">
        <v>132</v>
      </c>
      <c r="E46" s="13" t="s">
        <v>309</v>
      </c>
      <c r="F46" s="14" t="s">
        <v>133</v>
      </c>
      <c r="G46" s="15" t="str">
        <f>IF(LEN(E46)=0,"Pendiente",IF(LEN(E46)&lt;40,"Muy breve","Completa"))</f>
        <v>Completa</v>
      </c>
    </row>
    <row r="48" spans="2:7" ht="24" customHeight="1" x14ac:dyDescent="0.35">
      <c r="B48" s="46" t="s">
        <v>134</v>
      </c>
      <c r="C48" s="46"/>
      <c r="D48" s="46"/>
      <c r="E48" s="46"/>
      <c r="F48" s="46"/>
      <c r="G48" s="46"/>
    </row>
    <row r="49" spans="2:7" ht="51.75" customHeight="1" x14ac:dyDescent="0.35">
      <c r="B49" s="10" t="s">
        <v>135</v>
      </c>
      <c r="C49" s="18" t="s">
        <v>136</v>
      </c>
      <c r="D49" s="12" t="s">
        <v>137</v>
      </c>
      <c r="E49" s="13" t="s">
        <v>311</v>
      </c>
      <c r="F49" s="14" t="s">
        <v>138</v>
      </c>
      <c r="G49" s="15" t="str">
        <f>IF(LEN(E49)=0,"Pendiente",IF(LEN(E49)&lt;40,"Muy breve","Completa"))</f>
        <v>Completa</v>
      </c>
    </row>
    <row r="50" spans="2:7" ht="51.75" customHeight="1" x14ac:dyDescent="0.35">
      <c r="B50" s="10" t="s">
        <v>135</v>
      </c>
      <c r="C50" s="18" t="s">
        <v>139</v>
      </c>
      <c r="D50" s="12" t="s">
        <v>140</v>
      </c>
      <c r="E50" s="13" t="s">
        <v>314</v>
      </c>
      <c r="F50" s="14" t="s">
        <v>141</v>
      </c>
      <c r="G50" s="15" t="str">
        <f>IF(LEN(E50)=0,"Pendiente",IF(LEN(E50)&lt;40,"Muy breve","Completa"))</f>
        <v>Completa</v>
      </c>
    </row>
    <row r="51" spans="2:7" ht="51.75" customHeight="1" x14ac:dyDescent="0.35">
      <c r="B51" s="10" t="s">
        <v>135</v>
      </c>
      <c r="C51" s="18" t="s">
        <v>142</v>
      </c>
      <c r="D51" s="12" t="s">
        <v>143</v>
      </c>
      <c r="E51" s="13" t="s">
        <v>312</v>
      </c>
      <c r="F51" s="14" t="s">
        <v>144</v>
      </c>
      <c r="G51" s="15" t="str">
        <f>IF(LEN(E51)=0,"Pendiente",IF(LEN(E51)&lt;40,"Muy breve","Completa"))</f>
        <v>Completa</v>
      </c>
    </row>
    <row r="52" spans="2:7" ht="51.75" customHeight="1" x14ac:dyDescent="0.35">
      <c r="B52" s="10" t="s">
        <v>135</v>
      </c>
      <c r="C52" s="18" t="s">
        <v>145</v>
      </c>
      <c r="D52" s="12" t="s">
        <v>146</v>
      </c>
      <c r="E52" s="13" t="s">
        <v>313</v>
      </c>
      <c r="F52" s="14" t="s">
        <v>147</v>
      </c>
      <c r="G52" s="15" t="str">
        <f>IF(LEN(E52)=0,"Pendiente",IF(LEN(E52)&lt;40,"Muy breve","Completa"))</f>
        <v>Completa</v>
      </c>
    </row>
    <row r="53" spans="2:7" ht="51.75" customHeight="1" x14ac:dyDescent="0.35">
      <c r="B53" s="10" t="s">
        <v>135</v>
      </c>
      <c r="C53" s="18" t="s">
        <v>148</v>
      </c>
      <c r="D53" s="12" t="s">
        <v>149</v>
      </c>
      <c r="E53" s="13" t="s">
        <v>315</v>
      </c>
      <c r="F53" s="14" t="s">
        <v>150</v>
      </c>
      <c r="G53" s="15" t="str">
        <f>IF(LEN(E53)=0,"Pendiente",IF(LEN(E53)&lt;40,"Muy breve","Completa"))</f>
        <v>Completa</v>
      </c>
    </row>
    <row r="55" spans="2:7" ht="24" customHeight="1" x14ac:dyDescent="0.35">
      <c r="B55" s="46" t="s">
        <v>151</v>
      </c>
      <c r="C55" s="46"/>
      <c r="D55" s="46"/>
      <c r="E55" s="46"/>
      <c r="F55" s="46"/>
      <c r="G55" s="46"/>
    </row>
    <row r="56" spans="2:7" ht="51.75" customHeight="1" x14ac:dyDescent="0.35">
      <c r="B56" s="10" t="s">
        <v>152</v>
      </c>
      <c r="C56" s="18" t="s">
        <v>153</v>
      </c>
      <c r="D56" s="12" t="s">
        <v>154</v>
      </c>
      <c r="E56" s="13" t="s">
        <v>325</v>
      </c>
      <c r="F56" s="14" t="s">
        <v>155</v>
      </c>
      <c r="G56" s="15" t="str">
        <f>IF(LEN(E56)=0,"Pendiente",IF(LEN(E56)&lt;40,"Muy breve","Completa"))</f>
        <v>Completa</v>
      </c>
    </row>
    <row r="57" spans="2:7" ht="51.75" customHeight="1" x14ac:dyDescent="0.35">
      <c r="B57" s="10" t="s">
        <v>152</v>
      </c>
      <c r="C57" s="18" t="s">
        <v>156</v>
      </c>
      <c r="D57" s="12" t="s">
        <v>157</v>
      </c>
      <c r="E57" s="13" t="s">
        <v>316</v>
      </c>
      <c r="F57" s="14" t="s">
        <v>158</v>
      </c>
      <c r="G57" s="15" t="str">
        <f>IF(LEN(E57)=0,"Pendiente",IF(LEN(E57)&lt;40,"Muy breve","Completa"))</f>
        <v>Completa</v>
      </c>
    </row>
    <row r="58" spans="2:7" ht="51.75" customHeight="1" x14ac:dyDescent="0.35">
      <c r="B58" s="10" t="s">
        <v>152</v>
      </c>
      <c r="C58" s="18" t="s">
        <v>159</v>
      </c>
      <c r="D58" s="12" t="s">
        <v>160</v>
      </c>
      <c r="E58" s="13" t="s">
        <v>317</v>
      </c>
      <c r="F58" s="14" t="s">
        <v>161</v>
      </c>
      <c r="G58" s="15" t="str">
        <f>IF(LEN(E58)=0,"Pendiente",IF(LEN(E58)&lt;40,"Muy breve","Completa"))</f>
        <v>Completa</v>
      </c>
    </row>
    <row r="59" spans="2:7" ht="51.75" customHeight="1" x14ac:dyDescent="0.35">
      <c r="B59" s="10" t="s">
        <v>152</v>
      </c>
      <c r="C59" s="18" t="s">
        <v>162</v>
      </c>
      <c r="D59" s="12" t="s">
        <v>163</v>
      </c>
      <c r="E59" s="13" t="s">
        <v>318</v>
      </c>
      <c r="F59" s="14" t="s">
        <v>164</v>
      </c>
      <c r="G59" s="15" t="str">
        <f>IF(LEN(E59)=0,"Pendiente",IF(LEN(E59)&lt;40,"Muy breve","Completa"))</f>
        <v>Completa</v>
      </c>
    </row>
    <row r="60" spans="2:7" ht="51.75" customHeight="1" x14ac:dyDescent="0.35">
      <c r="B60" s="10" t="s">
        <v>152</v>
      </c>
      <c r="C60" s="18" t="s">
        <v>165</v>
      </c>
      <c r="D60" s="12" t="s">
        <v>166</v>
      </c>
      <c r="E60" s="13" t="s">
        <v>319</v>
      </c>
      <c r="F60" s="14" t="s">
        <v>167</v>
      </c>
      <c r="G60" s="15" t="str">
        <f>IF(LEN(E60)=0,"Pendiente",IF(LEN(E60)&lt;40,"Muy breve","Completa"))</f>
        <v>Completa</v>
      </c>
    </row>
    <row r="62" spans="2:7" ht="24" customHeight="1" x14ac:dyDescent="0.35">
      <c r="B62" s="44" t="s">
        <v>168</v>
      </c>
      <c r="C62" s="44"/>
      <c r="D62" s="44"/>
      <c r="E62" s="44"/>
      <c r="F62" s="44"/>
      <c r="G62" s="44"/>
    </row>
    <row r="63" spans="2:7" ht="51.75" customHeight="1" x14ac:dyDescent="0.35">
      <c r="B63" s="10" t="s">
        <v>169</v>
      </c>
      <c r="C63" s="17" t="s">
        <v>170</v>
      </c>
      <c r="D63" s="12" t="s">
        <v>171</v>
      </c>
      <c r="E63" s="13" t="s">
        <v>320</v>
      </c>
      <c r="F63" s="14" t="s">
        <v>172</v>
      </c>
      <c r="G63" s="15" t="str">
        <f>IF(LEN(E63)=0,"Pendiente",IF(LEN(E63)&lt;40,"Muy breve","Completa"))</f>
        <v>Completa</v>
      </c>
    </row>
    <row r="64" spans="2:7" ht="51.75" customHeight="1" x14ac:dyDescent="0.35">
      <c r="B64" s="10" t="s">
        <v>169</v>
      </c>
      <c r="C64" s="17" t="s">
        <v>173</v>
      </c>
      <c r="D64" s="12" t="s">
        <v>174</v>
      </c>
      <c r="E64" s="13" t="s">
        <v>321</v>
      </c>
      <c r="F64" s="14" t="s">
        <v>175</v>
      </c>
      <c r="G64" s="15" t="str">
        <f>IF(LEN(E64)=0,"Pendiente",IF(LEN(E64)&lt;40,"Muy breve","Completa"))</f>
        <v>Completa</v>
      </c>
    </row>
    <row r="65" spans="2:7" ht="51.75" customHeight="1" x14ac:dyDescent="0.35">
      <c r="B65" s="10" t="s">
        <v>169</v>
      </c>
      <c r="C65" s="17" t="s">
        <v>176</v>
      </c>
      <c r="D65" s="12" t="s">
        <v>177</v>
      </c>
      <c r="E65" s="13" t="s">
        <v>322</v>
      </c>
      <c r="F65" s="14" t="s">
        <v>178</v>
      </c>
      <c r="G65" s="15" t="str">
        <f>IF(LEN(E65)=0,"Pendiente",IF(LEN(E65)&lt;40,"Muy breve","Completa"))</f>
        <v>Completa</v>
      </c>
    </row>
    <row r="66" spans="2:7" ht="51.75" customHeight="1" x14ac:dyDescent="0.35">
      <c r="B66" s="10" t="s">
        <v>169</v>
      </c>
      <c r="C66" s="17" t="s">
        <v>179</v>
      </c>
      <c r="D66" s="12" t="s">
        <v>180</v>
      </c>
      <c r="E66" s="13" t="s">
        <v>323</v>
      </c>
      <c r="F66" s="14" t="s">
        <v>181</v>
      </c>
      <c r="G66" s="15" t="str">
        <f>IF(LEN(E66)=0,"Pendiente",IF(LEN(E66)&lt;40,"Muy breve","Completa"))</f>
        <v>Completa</v>
      </c>
    </row>
    <row r="67" spans="2:7" ht="51.75" customHeight="1" x14ac:dyDescent="0.35">
      <c r="B67" s="10" t="s">
        <v>169</v>
      </c>
      <c r="C67" s="17" t="s">
        <v>182</v>
      </c>
      <c r="D67" s="12" t="s">
        <v>183</v>
      </c>
      <c r="E67" s="13" t="s">
        <v>324</v>
      </c>
      <c r="F67" s="14" t="s">
        <v>184</v>
      </c>
      <c r="G67" s="15" t="str">
        <f>IF(LEN(E67)=0,"Pendiente",IF(LEN(E67)&lt;40,"Muy breve","Completa"))</f>
        <v>Completa</v>
      </c>
    </row>
    <row r="69" spans="2:7" ht="24" customHeight="1" x14ac:dyDescent="0.35">
      <c r="D69" s="19" t="s">
        <v>185</v>
      </c>
      <c r="E69" s="20" t="str">
        <f>COUNTIF(G6:G68,"Completa")&amp;" de 45"</f>
        <v>45 de 45</v>
      </c>
      <c r="G69" s="21">
        <f>COUNTIF(G6:G68,"Completa")/45</f>
        <v>1</v>
      </c>
    </row>
  </sheetData>
  <mergeCells count="11">
    <mergeCell ref="B2:G2"/>
    <mergeCell ref="B3:G3"/>
    <mergeCell ref="B6:G6"/>
    <mergeCell ref="B13:G13"/>
    <mergeCell ref="B20:G20"/>
    <mergeCell ref="B62:G62"/>
    <mergeCell ref="B27:G27"/>
    <mergeCell ref="B34:G34"/>
    <mergeCell ref="B41:G41"/>
    <mergeCell ref="B48:G48"/>
    <mergeCell ref="B55:G55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20"/>
  <sheetViews>
    <sheetView showGridLines="0" zoomScaleNormal="100" workbookViewId="0">
      <selection activeCell="H13" sqref="H13"/>
    </sheetView>
  </sheetViews>
  <sheetFormatPr baseColWidth="10" defaultColWidth="8.6328125" defaultRowHeight="14.5" x14ac:dyDescent="0.35"/>
  <cols>
    <col min="1" max="1" width="3" customWidth="1"/>
    <col min="2" max="2" width="36.453125" customWidth="1"/>
    <col min="3" max="3" width="51.36328125" customWidth="1"/>
    <col min="4" max="4" width="36.1796875" customWidth="1"/>
    <col min="5" max="5" width="44.81640625" customWidth="1"/>
    <col min="6" max="6" width="32.36328125" customWidth="1"/>
    <col min="7" max="7" width="3" customWidth="1"/>
  </cols>
  <sheetData>
    <row r="2" spans="2:6" ht="25.5" customHeight="1" x14ac:dyDescent="0.4">
      <c r="B2" s="47" t="s">
        <v>186</v>
      </c>
      <c r="C2" s="47"/>
      <c r="D2" s="47"/>
      <c r="E2" s="47"/>
      <c r="F2" s="47"/>
    </row>
    <row r="3" spans="2:6" x14ac:dyDescent="0.35">
      <c r="B3" s="48" t="s">
        <v>187</v>
      </c>
      <c r="C3" s="48"/>
      <c r="D3" s="48"/>
      <c r="E3" s="48"/>
      <c r="F3" s="48"/>
    </row>
    <row r="5" spans="2:6" ht="24" customHeight="1" x14ac:dyDescent="0.35">
      <c r="B5" s="22" t="s">
        <v>188</v>
      </c>
      <c r="C5" s="22" t="s">
        <v>189</v>
      </c>
      <c r="D5" s="23" t="s">
        <v>190</v>
      </c>
      <c r="E5" s="24" t="s">
        <v>191</v>
      </c>
      <c r="F5" s="24" t="s">
        <v>192</v>
      </c>
    </row>
    <row r="6" spans="2:6" ht="30" customHeight="1" x14ac:dyDescent="0.35">
      <c r="B6" s="51" t="str">
        <f>IF(COUNTA(Cuestionario!E56:E60)=0,"","• "&amp;_xlfn.TEXTJOIN(CHAR(10)&amp;"• ",TRUE(),Cuestionario!E56:E60))</f>
        <v>• Los proveedoees de hardware (servidores y antenas 5GHz) asi como los creados de los modelos base de inteligencia artificial (LLMs)
• El Hardware de telecomunicaciones: donde un aumento de precio haria que se viera reflejado en el costo de instalacion (y/o contratacion inicial) que se cobra a la escuela o el ayuntamiento
• La CONAFE nos conectaria con comunidades rurales de una manera mas sencilla. Y tiendas locales de la comunidad (sitio oficial, abarrotes, cooperativas escolares...) quienes actuaran como nuestros distribuidores de los pines de acceso
• Las escuelas, las cuales resguardan fisicamente nuestro servidor dentro de sus instalaciones, asi como los ejidos que autorizan el uso de los espacios.
• Nosotros damos la tecnologia. La escuela pone las tabletas/PC y la seguridad fisica. EL punto de venta local gana una comision por vender los pines de acceso</v>
      </c>
      <c r="C6" s="51" t="str">
        <f>IF(COUNTA(Cuestionario!E49:E53)=0,"","• "&amp;_xlfn.TEXTJOIN(CHAR(10)&amp;"• ",TRUE(),Cuestionario!E49:E53))</f>
        <v>• Generar e imprimir los lotes de codigos PIN y gestionar la logistica presencial para entregarlos al punto de venta de la comunidad
• El despliegue fisico del microservidor en el aula especializada y las actualizaciones a la infraestructura (RAG de informacion e IA) para que el sistema sea optimo
• Interno: Configuracion de software, IA y sistema logistico de pines de acceso. Externo: compra de hardware y si es necesario (aunque posiblemente no) la contratacion de mano de obra local para el cableado.
• Aislando el trafico de usuarios (una para el aula y otra para el prueblo) y visitando presencialmente la escuela ante fallas de hardware.
• Despliegue basado en contenedores Docker, lo que nos permite el manejo aislado del sistema completo, y podemos hacer actualizaciones e implementaciones rapidas via USB en las visitas tecnicas.</v>
      </c>
      <c r="D6" s="51" t="str">
        <f>IF(COUNTA(Cuestionario!E14:E18)=0,"","• "&amp;_xlfn.TEXTJOIN(CHAR(10)&amp;"• ",TRUE(),Cuestionario!E14:E18))</f>
        <v>• Ponemos en uso los equipos inactivos de la escuela creando un aula interactiva y damos acceso a informacion a la comunidad sin depender de internet.
• La escuela tiene equipo tecnologico que no usa. Los estudiantes gastan su saldo celular (si hay red) para investigar, limitando su aprendizaje y generando un gasto familiar 
• La escuela recupera su inversion en hardware y los alumnos acceden a terabytes de conocimiento y un Tutor IA ahorrando 100% de datos moviles.
• Porque no cobramos una costotsa renta mensual de internet satelita (o por fibra), si no que instalamos una intranet local sustentable que opera de forma autonoma.
• Queda fuera del alcance dar acceso a internet, ya que el sistema funcionará únicamente como una red privada y al conectarte, solo te permitirá consultar documentos, archivos y la IA que ya estan dentro del propio servidor local.</v>
      </c>
      <c r="E6" s="51" t="str">
        <f>IF(COUNTA(Cuestionario!E28:E32)=0,"","• "&amp;_xlfn.TEXTJOIN(CHAR(10)&amp;"• ",TRUE(),Cuestionario!E28:E32))</f>
        <v>• La escuela espera capacitacion humana y soporte tecnico. Y la comunidad espera que el servicio de compra de fichas presenciales sea rapido y confiable.
• Con uno de nuestros compañeros (integrantes) del proyecto se quede en el sitio para poder configruar las tabletas/PC del aula especializada y enseñar a los docentes a usar el Tutor IA y los simuladores, ademas de crear una guia de uso para las fichas y acceso al portal.
• Ofrecemos polizas de actualizacion de contenido (nuevos libros, mejores IA's) para que la escual vea valor mantener el sistema vigente año tras año
• El portal cautivo automatiza el acceso tras ingresar el codigo PIN. La venta de las fichas, la instalacion y el mantenimiento son estrictamente humanos.
• EL mayor costo son los viaticos de transporte a la comunidad para entregar los lotes de fichas fisicas, cobrar y realizar el mantenimeinto.</v>
      </c>
      <c r="F6" s="51" t="str">
        <f>IF(COUNTA(Cuestionario!E7:E11)=0,"","• "&amp;_xlfn.TEXTJOIN(CHAR(10)&amp;"• ",TRUE(),Cuestionario!E7:E11))</f>
        <v>• Para escuelas rurales con equipos inutilizados, estudiantes, habitantes sin internet y autoridades educativas que buscan cerrar la brecha digital.
• Lo usa diariamente los alumnos y publico general. El que paga; es la escuela (Asociacion de padres), la counidad y ayuntamientos
• Las escuelas rurales que tienen dispositivos donados o ya cuentan con ellos (tablets/PCs) pero que estan arrubados formando un basurero tecnologico por falta de red
• Miles de escuelas rurales de distintos niveles. Donde el contacto es presencial con directores, comites de padres de familia y autoridades ejidales.
• Arrancamos con escuelas publicas rurales con un aula especializada (sala de informatica), para despues escalar la señal al resto de la comunidad</v>
      </c>
    </row>
    <row r="7" spans="2:6" ht="30" customHeight="1" x14ac:dyDescent="0.35">
      <c r="B7" s="51"/>
      <c r="C7" s="51"/>
      <c r="D7" s="51"/>
      <c r="E7" s="51"/>
      <c r="F7" s="51"/>
    </row>
    <row r="8" spans="2:6" ht="30" customHeight="1" x14ac:dyDescent="0.35">
      <c r="B8" s="51"/>
      <c r="C8" s="51"/>
      <c r="D8" s="51"/>
      <c r="E8" s="51"/>
      <c r="F8" s="51"/>
    </row>
    <row r="9" spans="2:6" ht="30" customHeight="1" x14ac:dyDescent="0.35">
      <c r="B9" s="51"/>
      <c r="C9" s="51"/>
      <c r="D9" s="51"/>
      <c r="E9" s="51"/>
      <c r="F9" s="51"/>
    </row>
    <row r="10" spans="2:6" ht="24" customHeight="1" x14ac:dyDescent="0.35">
      <c r="B10" s="51"/>
      <c r="C10" s="22" t="s">
        <v>193</v>
      </c>
      <c r="D10" s="51"/>
      <c r="E10" s="24" t="s">
        <v>194</v>
      </c>
      <c r="F10" s="51"/>
    </row>
    <row r="11" spans="2:6" ht="30" customHeight="1" x14ac:dyDescent="0.35">
      <c r="B11" s="51"/>
      <c r="C11" s="51" t="str">
        <f>IF(COUNTA(Cuestionario!E42:E46)=0,"","• "&amp;_xlfn.TEXTJOIN(CHAR(10)&amp;"• ",TRUE(),Cuestionario!E42:E46))</f>
        <v>• Ingenieros capaces de desplegar contenedores docker, configurar Open WebUI/RAG y tecnicos para la instalacion fisica de redes y antenas 5GHz.
• Requiere un microservidor central, Antenas de largo alcance 5GHz y los dispositivos con los que ya cuenta la escuela. El costo de nube es cero al ser una infraestructura 100% offline
• Archivos Publicos masivos (Wikipedia, PhET, Libros) ingresados mediante Discos Duros locales al servidor. Ademas, no capturaremos datos sensibles de usuarios (alumnos, profesores, usuarios en general)
• La integracion en Docker con Inteligencia Artificial que no alucine y logistica de distribucion en la comunidad.
• Usamos tecnologias de codigo abierto (Docker, Ollama, Modelos LLM locales), eliminando el pago de licencias a terceros</v>
      </c>
      <c r="D11" s="51"/>
      <c r="E11" s="51" t="str">
        <f>IF(COUNTA(Cuestionario!E21:E25)=0,"","• "&amp;_xlfn.TEXTJOIN(CHAR(10)&amp;"• ",TRUE(),Cuestionario!E21:E25))</f>
        <v>• Mediante visitas presenciales a escuelas, reuniones con directores, asambleas ejidales y alianzas con CONAFE
• Llevando un microservidor portatil a la escuela para hacer una demostracion en vivo de como la IA y los siuladores funcionan en sus propios dispositivos sin ninguna conexión.
• Primero la escuela aprueba el proyecto, instalamos el servidor para la aula especializada y las antenas exterioes. Y ahora los usuarios se pueden conectar al WIFI
• Reciben una capacitacion presencial a docentes para usar el aula (y el portal). Ademas, de actualizaciones y soporte fisico mediante visitas tecnicas programadas
• La alianza con autoridades municipales o CONAFE, ya que un solo acuerdo puede darnos multiples escuelas de la region</v>
      </c>
      <c r="F11" s="51"/>
    </row>
    <row r="12" spans="2:6" ht="30" customHeight="1" x14ac:dyDescent="0.35">
      <c r="B12" s="51"/>
      <c r="C12" s="51"/>
      <c r="D12" s="51"/>
      <c r="E12" s="51"/>
      <c r="F12" s="51"/>
    </row>
    <row r="13" spans="2:6" ht="65.5" customHeight="1" x14ac:dyDescent="0.35">
      <c r="B13" s="51"/>
      <c r="C13" s="51"/>
      <c r="D13" s="51"/>
      <c r="E13" s="51"/>
      <c r="F13" s="51"/>
    </row>
    <row r="14" spans="2:6" ht="24" customHeight="1" x14ac:dyDescent="0.35">
      <c r="B14" s="50" t="s">
        <v>195</v>
      </c>
      <c r="C14" s="50"/>
      <c r="D14" s="50" t="s">
        <v>196</v>
      </c>
      <c r="E14" s="50"/>
      <c r="F14" s="50"/>
    </row>
    <row r="15" spans="2:6" ht="30" customHeight="1" x14ac:dyDescent="0.35">
      <c r="B15" s="51" t="str">
        <f>IF(COUNTA(Cuestionario!E63:E67)=0,"","• "&amp;_xlfn.TEXTJOIN(CHAR(10)&amp;"• ",TRUE(),Cuestionario!E63:E67))</f>
        <v>• 1. Hardware (Servidor y antenas). 2. Viaticos (Visitas de mantenimiento y cobro). 3. Generacion e Impresión de fichas. 4. Horas de Desarrollo 5. Mano de obra de red
• Ampliar la cobertura requiere compras mas antenas exteriores. Aumentar el contenido requiere discos duros de mayor capacidad para el servidor
• Al principio, adquirir una escuela requiere viajes de venta especial. Y despues, antenderla cuesta viaticos mensuales del equipo que recolecta el efectivo y hace mantenimiento
• Por valor. Ya que rescatamos el hardware abandonado y llevamos educacion e IA a un prueblo sin internet, justificando la inversion en la infraestructura.
• Cobrando la infraestructura y el aula especializada a la escuela/municipio, asi como cubriendo la operación logistica. El punto de equilibrio se alcanzaria relativamente rapido</v>
      </c>
      <c r="C15" s="51"/>
      <c r="D15" s="51" t="str">
        <f>IF(COUNTA(Cuestionario!E35:E39)=0,"","• "&amp;_xlfn.TEXTJOIN(CHAR(10)&amp;"• ",TRUE(),Cuestionario!E35:E39))</f>
        <v>• La escuela paga por revivir su aula tecnologica y el mantenimiento. La comunidad paga por acceder a gerraientas de estudio sin gastar en saldo celular.
• Las escuelas no pueden pagar internet satelital permanente y con buena velocidad (para muchos usuarios), y los padres gastan constantemente en recargas de saldo para tareas escolares.
• 1. La venta presencial de fichas/pines de acceso (tiempo de duracion de cada pin es semanalment o mensualmente)  2. Polizas de mantenimiento y actualizacion a la escuela  3. Venta inicial de infraestructura
• Fichas muy economicas (ej. Semanales, mensuales) pagadas en efectivo en la cooperativa o algun otro sitio. Y Polizas anuales a la escuela para actualizaciones y mantenimiento
• La venta de infraestructura (Aula + antenas) aporta la capital inicial. Y las polizas a esculas y venta de fichas en efectivo dan ingresos mensuales.</v>
      </c>
      <c r="E15" s="51"/>
      <c r="F15" s="51"/>
    </row>
    <row r="16" spans="2:6" ht="30" customHeight="1" x14ac:dyDescent="0.35">
      <c r="B16" s="51"/>
      <c r="C16" s="51"/>
      <c r="D16" s="51"/>
      <c r="E16" s="51"/>
      <c r="F16" s="51"/>
    </row>
    <row r="17" spans="2:6" ht="30" customHeight="1" x14ac:dyDescent="0.35">
      <c r="B17" s="51"/>
      <c r="C17" s="51"/>
      <c r="D17" s="51"/>
      <c r="E17" s="51"/>
      <c r="F17" s="51"/>
    </row>
    <row r="18" spans="2:6" ht="36" customHeight="1" x14ac:dyDescent="0.35">
      <c r="B18" s="51"/>
      <c r="C18" s="51"/>
      <c r="D18" s="51"/>
      <c r="E18" s="51"/>
      <c r="F18" s="51"/>
    </row>
    <row r="20" spans="2:6" ht="30" customHeight="1" x14ac:dyDescent="0.35">
      <c r="B20" s="52" t="s">
        <v>197</v>
      </c>
      <c r="C20" s="52"/>
      <c r="D20" s="52"/>
      <c r="E20" s="52"/>
      <c r="F20" s="52"/>
    </row>
  </sheetData>
  <mergeCells count="14">
    <mergeCell ref="B2:F2"/>
    <mergeCell ref="B3:F3"/>
    <mergeCell ref="B6:B13"/>
    <mergeCell ref="C6:C9"/>
    <mergeCell ref="D6:D13"/>
    <mergeCell ref="E6:E9"/>
    <mergeCell ref="F6:F13"/>
    <mergeCell ref="C11:C13"/>
    <mergeCell ref="E11:E13"/>
    <mergeCell ref="B14:C14"/>
    <mergeCell ref="D14:F14"/>
    <mergeCell ref="B15:C18"/>
    <mergeCell ref="D15:F18"/>
    <mergeCell ref="B20:F20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D34"/>
  <sheetViews>
    <sheetView showGridLines="0" zoomScaleNormal="100" workbookViewId="0"/>
  </sheetViews>
  <sheetFormatPr baseColWidth="10" defaultColWidth="8.6328125" defaultRowHeight="14.5" x14ac:dyDescent="0.35"/>
  <cols>
    <col min="1" max="1" width="3" customWidth="1"/>
    <col min="2" max="2" width="58" customWidth="1"/>
    <col min="3" max="3" width="22" customWidth="1"/>
    <col min="4" max="4" width="62" customWidth="1"/>
  </cols>
  <sheetData>
    <row r="2" spans="2:4" ht="25.5" customHeight="1" x14ac:dyDescent="0.4">
      <c r="B2" s="47" t="s">
        <v>198</v>
      </c>
      <c r="C2" s="47"/>
      <c r="D2" s="47"/>
    </row>
    <row r="3" spans="2:4" x14ac:dyDescent="0.35">
      <c r="B3" s="48" t="s">
        <v>199</v>
      </c>
      <c r="C3" s="48"/>
      <c r="D3" s="48"/>
    </row>
    <row r="5" spans="2:4" ht="21.75" customHeight="1" x14ac:dyDescent="0.35">
      <c r="B5" s="49" t="s">
        <v>200</v>
      </c>
      <c r="C5" s="49"/>
      <c r="D5" s="49"/>
    </row>
    <row r="6" spans="2:4" ht="21.75" customHeight="1" x14ac:dyDescent="0.35">
      <c r="B6" s="25" t="s">
        <v>201</v>
      </c>
      <c r="C6" s="26">
        <v>899</v>
      </c>
      <c r="D6" s="14" t="s">
        <v>202</v>
      </c>
    </row>
    <row r="7" spans="2:4" ht="21.75" customHeight="1" x14ac:dyDescent="0.35">
      <c r="B7" s="25" t="s">
        <v>203</v>
      </c>
      <c r="C7" s="26">
        <v>2500</v>
      </c>
      <c r="D7" s="14" t="s">
        <v>204</v>
      </c>
    </row>
    <row r="8" spans="2:4" ht="21.75" customHeight="1" x14ac:dyDescent="0.35">
      <c r="B8" s="25" t="s">
        <v>205</v>
      </c>
      <c r="C8" s="27">
        <v>110</v>
      </c>
      <c r="D8" s="14" t="s">
        <v>206</v>
      </c>
    </row>
    <row r="9" spans="2:4" ht="21.75" customHeight="1" x14ac:dyDescent="0.35">
      <c r="B9" s="25" t="s">
        <v>207</v>
      </c>
      <c r="C9" s="27">
        <v>9</v>
      </c>
      <c r="D9" s="14" t="s">
        <v>208</v>
      </c>
    </row>
    <row r="10" spans="2:4" ht="21.75" customHeight="1" x14ac:dyDescent="0.35">
      <c r="B10" s="25" t="s">
        <v>209</v>
      </c>
      <c r="C10" s="26">
        <v>95</v>
      </c>
      <c r="D10" s="14" t="s">
        <v>210</v>
      </c>
    </row>
    <row r="11" spans="2:4" ht="21.75" customHeight="1" x14ac:dyDescent="0.35">
      <c r="B11" s="25" t="s">
        <v>211</v>
      </c>
      <c r="C11" s="28">
        <v>0.03</v>
      </c>
      <c r="D11" s="14" t="s">
        <v>212</v>
      </c>
    </row>
    <row r="12" spans="2:4" ht="21.75" customHeight="1" x14ac:dyDescent="0.35">
      <c r="B12" s="25" t="s">
        <v>213</v>
      </c>
      <c r="C12" s="26">
        <v>78000</v>
      </c>
      <c r="D12" s="14" t="s">
        <v>214</v>
      </c>
    </row>
    <row r="13" spans="2:4" ht="21.75" customHeight="1" x14ac:dyDescent="0.35">
      <c r="B13" s="25" t="s">
        <v>215</v>
      </c>
      <c r="C13" s="26">
        <v>1800</v>
      </c>
      <c r="D13" s="14" t="s">
        <v>216</v>
      </c>
    </row>
    <row r="14" spans="2:4" ht="21.75" customHeight="1" x14ac:dyDescent="0.35">
      <c r="B14" s="25" t="s">
        <v>217</v>
      </c>
      <c r="C14" s="27">
        <v>18</v>
      </c>
      <c r="D14" s="14" t="s">
        <v>218</v>
      </c>
    </row>
    <row r="16" spans="2:4" ht="21.75" customHeight="1" x14ac:dyDescent="0.35">
      <c r="B16" s="44" t="s">
        <v>219</v>
      </c>
      <c r="C16" s="44"/>
      <c r="D16" s="44"/>
    </row>
    <row r="17" spans="2:4" ht="21.75" customHeight="1" x14ac:dyDescent="0.35">
      <c r="B17" s="25" t="s">
        <v>220</v>
      </c>
      <c r="C17" s="29">
        <f>C6*C8</f>
        <v>98890</v>
      </c>
      <c r="D17" s="14" t="s">
        <v>221</v>
      </c>
    </row>
    <row r="18" spans="2:4" ht="21.75" customHeight="1" x14ac:dyDescent="0.35">
      <c r="B18" s="25" t="s">
        <v>222</v>
      </c>
      <c r="C18" s="29">
        <f>C7*C9</f>
        <v>22500</v>
      </c>
      <c r="D18" s="14" t="s">
        <v>223</v>
      </c>
    </row>
    <row r="19" spans="2:4" ht="21.75" customHeight="1" x14ac:dyDescent="0.35">
      <c r="B19" s="25" t="s">
        <v>224</v>
      </c>
      <c r="C19" s="29">
        <f>C17+C18</f>
        <v>121390</v>
      </c>
      <c r="D19" s="14" t="s">
        <v>225</v>
      </c>
    </row>
    <row r="20" spans="2:4" ht="21.75" customHeight="1" x14ac:dyDescent="0.35">
      <c r="B20" s="25" t="s">
        <v>226</v>
      </c>
      <c r="C20" s="29">
        <f>C10*C8+C19*C11</f>
        <v>14091.7</v>
      </c>
      <c r="D20" s="14" t="s">
        <v>227</v>
      </c>
    </row>
    <row r="21" spans="2:4" ht="21.75" customHeight="1" x14ac:dyDescent="0.35">
      <c r="B21" s="25" t="s">
        <v>228</v>
      </c>
      <c r="C21" s="29">
        <f>C19-C20</f>
        <v>107298.3</v>
      </c>
      <c r="D21" s="14" t="s">
        <v>229</v>
      </c>
    </row>
    <row r="22" spans="2:4" ht="21.75" customHeight="1" x14ac:dyDescent="0.35">
      <c r="B22" s="30" t="s">
        <v>230</v>
      </c>
      <c r="C22" s="31">
        <f>C21-C12</f>
        <v>29298.300000000003</v>
      </c>
      <c r="D22" s="14" t="s">
        <v>231</v>
      </c>
    </row>
    <row r="24" spans="2:4" ht="21.75" customHeight="1" x14ac:dyDescent="0.35">
      <c r="B24" s="46" t="s">
        <v>232</v>
      </c>
      <c r="C24" s="46"/>
      <c r="D24" s="46"/>
    </row>
    <row r="25" spans="2:4" ht="21.75" customHeight="1" x14ac:dyDescent="0.35">
      <c r="B25" s="25" t="s">
        <v>233</v>
      </c>
      <c r="C25" s="29">
        <f>C17*12</f>
        <v>1186680</v>
      </c>
      <c r="D25" s="14" t="s">
        <v>234</v>
      </c>
    </row>
    <row r="26" spans="2:4" ht="21.75" customHeight="1" x14ac:dyDescent="0.35">
      <c r="B26" s="25" t="s">
        <v>235</v>
      </c>
      <c r="C26" s="29">
        <f>C6-C10-C6*C11</f>
        <v>777.03</v>
      </c>
      <c r="D26" s="14" t="s">
        <v>236</v>
      </c>
    </row>
    <row r="27" spans="2:4" ht="21.75" customHeight="1" x14ac:dyDescent="0.35">
      <c r="B27" s="25" t="s">
        <v>237</v>
      </c>
      <c r="C27" s="32">
        <f>IFERROR(C26/C6,0)</f>
        <v>0.86432703003337041</v>
      </c>
      <c r="D27" s="14" t="s">
        <v>238</v>
      </c>
    </row>
    <row r="28" spans="2:4" ht="21.75" customHeight="1" x14ac:dyDescent="0.35">
      <c r="B28" s="25" t="s">
        <v>239</v>
      </c>
      <c r="C28" s="29">
        <f>C26*C14+C7</f>
        <v>16486.54</v>
      </c>
      <c r="D28" s="14" t="s">
        <v>240</v>
      </c>
    </row>
    <row r="29" spans="2:4" ht="21.75" customHeight="1" x14ac:dyDescent="0.35">
      <c r="B29" s="30" t="s">
        <v>241</v>
      </c>
      <c r="C29" s="33">
        <f>IFERROR(C28/C13,0)</f>
        <v>9.1591888888888899</v>
      </c>
      <c r="D29" s="14" t="s">
        <v>242</v>
      </c>
    </row>
    <row r="30" spans="2:4" ht="21.75" customHeight="1" x14ac:dyDescent="0.35">
      <c r="B30" s="25" t="s">
        <v>243</v>
      </c>
      <c r="C30" s="34">
        <f>IFERROR(C13/C26,0)</f>
        <v>2.3165128759507354</v>
      </c>
      <c r="D30" s="14" t="s">
        <v>244</v>
      </c>
    </row>
    <row r="31" spans="2:4" ht="21.75" customHeight="1" x14ac:dyDescent="0.35">
      <c r="B31" s="30" t="s">
        <v>245</v>
      </c>
      <c r="C31" s="35">
        <f>IFERROR(ROUNDUP(C12/C26,0),0)</f>
        <v>101</v>
      </c>
      <c r="D31" s="14" t="s">
        <v>246</v>
      </c>
    </row>
    <row r="32" spans="2:4" ht="30" customHeight="1" x14ac:dyDescent="0.35">
      <c r="B32" s="25" t="s">
        <v>247</v>
      </c>
      <c r="C32" s="36" t="str">
        <f>IF(C29&gt;=3,"Saludable: el modelo puede escalar.",IF(C29&gt;=1,"Frágil: apenas recuperas lo invertido.","Inviable: cada cliente cuesta más de lo que deja."))</f>
        <v>Saludable: el modelo puede escalar.</v>
      </c>
      <c r="D32" s="14" t="s">
        <v>248</v>
      </c>
    </row>
    <row r="34" spans="2:4" ht="27.75" customHeight="1" x14ac:dyDescent="0.35">
      <c r="B34" s="53" t="s">
        <v>249</v>
      </c>
      <c r="C34" s="53"/>
      <c r="D34" s="53"/>
    </row>
  </sheetData>
  <mergeCells count="6">
    <mergeCell ref="B34:D34"/>
    <mergeCell ref="B2:D2"/>
    <mergeCell ref="B3:D3"/>
    <mergeCell ref="B5:D5"/>
    <mergeCell ref="B16:D16"/>
    <mergeCell ref="B24:D24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F20"/>
  <sheetViews>
    <sheetView showGridLines="0" zoomScaleNormal="100" workbookViewId="0">
      <selection activeCell="D8" sqref="D8"/>
    </sheetView>
  </sheetViews>
  <sheetFormatPr baseColWidth="10" defaultColWidth="8.6328125" defaultRowHeight="14.5" x14ac:dyDescent="0.35"/>
  <cols>
    <col min="1" max="1" width="3" customWidth="1"/>
    <col min="2" max="2" width="6" customWidth="1"/>
    <col min="3" max="3" width="86" customWidth="1"/>
    <col min="4" max="4" width="16" customWidth="1"/>
    <col min="5" max="5" width="10" customWidth="1"/>
    <col min="6" max="6" width="46" customWidth="1"/>
  </cols>
  <sheetData>
    <row r="2" spans="2:6" ht="25.5" customHeight="1" x14ac:dyDescent="0.4">
      <c r="B2" s="47" t="s">
        <v>250</v>
      </c>
      <c r="C2" s="47"/>
      <c r="D2" s="47"/>
      <c r="E2" s="47"/>
      <c r="F2" s="47"/>
    </row>
    <row r="3" spans="2:6" x14ac:dyDescent="0.35">
      <c r="B3" s="48" t="s">
        <v>251</v>
      </c>
      <c r="C3" s="48"/>
      <c r="D3" s="48"/>
      <c r="E3" s="48"/>
      <c r="F3" s="48"/>
    </row>
    <row r="5" spans="2:6" ht="27.75" customHeight="1" x14ac:dyDescent="0.35">
      <c r="B5" s="9" t="s">
        <v>27</v>
      </c>
      <c r="C5" s="9" t="s">
        <v>252</v>
      </c>
      <c r="D5" s="9" t="s">
        <v>253</v>
      </c>
      <c r="E5" s="9" t="s">
        <v>254</v>
      </c>
      <c r="F5" s="9" t="s">
        <v>255</v>
      </c>
    </row>
    <row r="6" spans="2:6" ht="33.75" customHeight="1" x14ac:dyDescent="0.35">
      <c r="B6" s="37">
        <v>1</v>
      </c>
      <c r="C6" s="38" t="s">
        <v>256</v>
      </c>
      <c r="D6" s="39" t="s">
        <v>310</v>
      </c>
      <c r="E6" s="40">
        <f t="shared" ref="E6:E15" si="0">IF(D6="Sí",1,IF(D6="Parcial",0.5,0))</f>
        <v>0</v>
      </c>
      <c r="F6" s="14" t="s">
        <v>257</v>
      </c>
    </row>
    <row r="7" spans="2:6" ht="33.75" customHeight="1" x14ac:dyDescent="0.35">
      <c r="B7" s="37">
        <v>2</v>
      </c>
      <c r="C7" s="38" t="s">
        <v>258</v>
      </c>
      <c r="D7" s="39"/>
      <c r="E7" s="40">
        <f t="shared" si="0"/>
        <v>0</v>
      </c>
      <c r="F7" s="14" t="s">
        <v>259</v>
      </c>
    </row>
    <row r="8" spans="2:6" ht="33.75" customHeight="1" x14ac:dyDescent="0.35">
      <c r="B8" s="37">
        <v>3</v>
      </c>
      <c r="C8" s="38" t="s">
        <v>260</v>
      </c>
      <c r="D8" s="39"/>
      <c r="E8" s="40">
        <f t="shared" si="0"/>
        <v>0</v>
      </c>
      <c r="F8" s="14" t="s">
        <v>261</v>
      </c>
    </row>
    <row r="9" spans="2:6" ht="33.75" customHeight="1" x14ac:dyDescent="0.35">
      <c r="B9" s="37">
        <v>4</v>
      </c>
      <c r="C9" s="38" t="s">
        <v>262</v>
      </c>
      <c r="D9" s="39"/>
      <c r="E9" s="40">
        <f t="shared" si="0"/>
        <v>0</v>
      </c>
      <c r="F9" s="14" t="s">
        <v>263</v>
      </c>
    </row>
    <row r="10" spans="2:6" ht="33.75" customHeight="1" x14ac:dyDescent="0.35">
      <c r="B10" s="37">
        <v>5</v>
      </c>
      <c r="C10" s="38" t="s">
        <v>264</v>
      </c>
      <c r="D10" s="39"/>
      <c r="E10" s="40">
        <f t="shared" si="0"/>
        <v>0</v>
      </c>
      <c r="F10" s="14" t="s">
        <v>265</v>
      </c>
    </row>
    <row r="11" spans="2:6" ht="33.75" customHeight="1" x14ac:dyDescent="0.35">
      <c r="B11" s="37">
        <v>6</v>
      </c>
      <c r="C11" s="38" t="s">
        <v>266</v>
      </c>
      <c r="D11" s="39" t="s">
        <v>310</v>
      </c>
      <c r="E11" s="40">
        <f t="shared" si="0"/>
        <v>0</v>
      </c>
      <c r="F11" s="14" t="s">
        <v>267</v>
      </c>
    </row>
    <row r="12" spans="2:6" ht="33.75" customHeight="1" x14ac:dyDescent="0.35">
      <c r="B12" s="37">
        <v>7</v>
      </c>
      <c r="C12" s="38" t="s">
        <v>268</v>
      </c>
      <c r="D12" s="39" t="s">
        <v>310</v>
      </c>
      <c r="E12" s="40">
        <f t="shared" si="0"/>
        <v>0</v>
      </c>
      <c r="F12" s="14" t="s">
        <v>269</v>
      </c>
    </row>
    <row r="13" spans="2:6" ht="33.75" customHeight="1" x14ac:dyDescent="0.35">
      <c r="B13" s="37">
        <v>8</v>
      </c>
      <c r="C13" s="38" t="s">
        <v>270</v>
      </c>
      <c r="D13" s="39"/>
      <c r="E13" s="40">
        <f t="shared" si="0"/>
        <v>0</v>
      </c>
      <c r="F13" s="14" t="s">
        <v>271</v>
      </c>
    </row>
    <row r="14" spans="2:6" ht="33.75" customHeight="1" x14ac:dyDescent="0.35">
      <c r="B14" s="37">
        <v>9</v>
      </c>
      <c r="C14" s="38" t="s">
        <v>272</v>
      </c>
      <c r="D14" s="39" t="s">
        <v>310</v>
      </c>
      <c r="E14" s="40">
        <f t="shared" si="0"/>
        <v>0</v>
      </c>
      <c r="F14" s="14" t="s">
        <v>273</v>
      </c>
    </row>
    <row r="15" spans="2:6" ht="33.75" customHeight="1" x14ac:dyDescent="0.35">
      <c r="B15" s="37">
        <v>10</v>
      </c>
      <c r="C15" s="38" t="s">
        <v>274</v>
      </c>
      <c r="D15" s="39" t="s">
        <v>310</v>
      </c>
      <c r="E15" s="40">
        <f t="shared" si="0"/>
        <v>0</v>
      </c>
      <c r="F15" s="14" t="s">
        <v>275</v>
      </c>
    </row>
    <row r="17" spans="3:6" ht="21.75" customHeight="1" x14ac:dyDescent="0.35">
      <c r="C17" s="19" t="s">
        <v>276</v>
      </c>
      <c r="E17" s="41">
        <f>SUM(E6:E15)</f>
        <v>0</v>
      </c>
    </row>
    <row r="18" spans="3:6" ht="21.75" customHeight="1" x14ac:dyDescent="0.35">
      <c r="C18" s="19" t="s">
        <v>277</v>
      </c>
      <c r="E18" s="21">
        <f>E17/10</f>
        <v>0</v>
      </c>
    </row>
    <row r="20" spans="3:6" ht="30" customHeight="1" x14ac:dyDescent="0.35">
      <c r="C20" s="54" t="str">
        <f>IF(E18&gt;=0.9,"VERDE — el modelo es coherente: pueden presentarlo.",IF(E18&gt;=0.6,"AMARILLO — hay huecos: revisen los criterios que no quedaron en «Sí» antes de exponer.","ROJO — el modelo aún no se sostiene: regresen al cuestionario antes de preparar la presentación."))</f>
        <v>ROJO — el modelo aún no se sostiene: regresen al cuestionario antes de preparar la presentación.</v>
      </c>
      <c r="D20" s="54"/>
      <c r="E20" s="54"/>
      <c r="F20" s="54"/>
    </row>
  </sheetData>
  <mergeCells count="3">
    <mergeCell ref="B2:F2"/>
    <mergeCell ref="B3:F3"/>
    <mergeCell ref="C20:F20"/>
  </mergeCells>
  <dataValidations count="1">
    <dataValidation type="list" allowBlank="1" sqref="D6:D15" xr:uid="{00000000-0002-0000-0400-000000000000}">
      <formula1>"Sí,Parcial,No"</formula1>
      <formula2>0</formula2>
    </dataValidation>
  </dataValidation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061D368890844BCDF55F45CE664BF" ma:contentTypeVersion="0" ma:contentTypeDescription="Crear nuevo documento." ma:contentTypeScope="" ma:versionID="c523f0e6090e9a8602e566857a797d6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889323-B764-4A9B-A7A4-427CE1B10B4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64DA6EF-1352-4444-834A-7C9CBE6592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20B5889-CF30-4417-B810-D13F55E641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Instrucciones</vt:lpstr>
      <vt:lpstr>Cuestionario</vt:lpstr>
      <vt:lpstr>Lienzo</vt:lpstr>
      <vt:lpstr>Monetización</vt:lpstr>
      <vt:lpstr>Checklist</vt:lpstr>
      <vt:lpstr>Cuestionario!Títulos_a_imprimir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RAFAEL PIEDRA SANCHEZ</cp:lastModifiedBy>
  <cp:revision>0</cp:revision>
  <dcterms:created xsi:type="dcterms:W3CDTF">2026-09-14T15:52:19Z</dcterms:created>
  <dcterms:modified xsi:type="dcterms:W3CDTF">2026-09-16T20:29:03Z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0x010100561061D368890844BCDF55F45CE664BF</vt:lpwstr>
  </property>
</Properties>
</file>